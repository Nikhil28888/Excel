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workbookPr codeName="ThisWorkbook" hidePivotFieldList="1"/>
  <mc:AlternateContent xmlns:mc="http://schemas.openxmlformats.org/markup-compatibility/2006">
    <mc:Choice Requires="x15">
      <x15ac:absPath xmlns:x15ac="http://schemas.microsoft.com/office/spreadsheetml/2010/11/ac" url="D:\"/>
    </mc:Choice>
  </mc:AlternateContent>
  <xr:revisionPtr revIDLastSave="0" documentId="13_ncr:9_{1CA07149-CFBD-4B54-8D3A-2A373F1195DD}" xr6:coauthVersionLast="47" xr6:coauthVersionMax="47" xr10:uidLastSave="{00000000-0000-0000-0000-000000000000}"/>
  <bookViews>
    <workbookView xWindow="-120" yWindow="-120" windowWidth="25440" windowHeight="15990" activeTab="2" xr2:uid="{1223996A-68C2-46D4-9AD8-16874A55AA02}"/>
  </bookViews>
  <sheets>
    <sheet name="Chocolate Sales" sheetId="1" r:id="rId1"/>
    <sheet name="Pivot table" sheetId="2" r:id="rId2"/>
    <sheet name="Dashboard" sheetId="3" r:id="rId3"/>
  </sheets>
  <definedNames>
    <definedName name="_xlchart.v1.0" hidden="1">'Pivot table'!$L$4:$L$11</definedName>
    <definedName name="_xlchart.v1.1" hidden="1">'Pivot table'!$M$4:$M$11</definedName>
    <definedName name="_xlchart.v1.2" hidden="1">'Pivot table'!$L$4:$L$11</definedName>
    <definedName name="_xlchart.v1.3" hidden="1">'Pivot table'!$M$4:$M$11</definedName>
    <definedName name="_xlchart.v1.4" hidden="1">'Pivot table'!$L$4:$L$11</definedName>
    <definedName name="_xlchart.v1.5" hidden="1">'Pivot table'!$M$4:$M$11</definedName>
    <definedName name="Slicer_Country">#N/A</definedName>
    <definedName name="Slicer_Day_Name">#N/A</definedName>
  </definedNames>
  <calcPr calcId="0"/>
  <pivotCaches>
    <pivotCache cacheId="25"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Lst>
</workbook>
</file>

<file path=xl/calcChain.xml><?xml version="1.0" encoding="utf-8"?>
<calcChain xmlns="http://schemas.openxmlformats.org/spreadsheetml/2006/main">
  <c r="L5" i="2" l="1"/>
  <c r="M5" i="2"/>
  <c r="L6" i="2"/>
  <c r="M6" i="2"/>
  <c r="L7" i="2"/>
  <c r="M7" i="2"/>
  <c r="L8" i="2"/>
  <c r="M8" i="2"/>
  <c r="L9" i="2"/>
  <c r="M9" i="2"/>
  <c r="L10" i="2"/>
  <c r="M10" i="2"/>
  <c r="L11" i="2"/>
  <c r="M11" i="2"/>
  <c r="M4" i="2"/>
  <c r="L4" i="2"/>
  <c r="F2" i="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752" i="1"/>
  <c r="F753" i="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F785" i="1"/>
  <c r="F786" i="1"/>
  <c r="F787" i="1"/>
  <c r="F788" i="1"/>
  <c r="F789" i="1"/>
  <c r="F790" i="1"/>
  <c r="F791" i="1"/>
  <c r="F792" i="1"/>
  <c r="F793" i="1"/>
  <c r="F794" i="1"/>
  <c r="F795" i="1"/>
  <c r="F796" i="1"/>
  <c r="F797" i="1"/>
  <c r="F798" i="1"/>
  <c r="F799" i="1"/>
  <c r="F800" i="1"/>
  <c r="F801" i="1"/>
  <c r="F802" i="1"/>
  <c r="F803" i="1"/>
  <c r="F804" i="1"/>
  <c r="F805" i="1"/>
  <c r="F806" i="1"/>
  <c r="F807" i="1"/>
  <c r="F808" i="1"/>
  <c r="F809" i="1"/>
  <c r="F810" i="1"/>
  <c r="F811" i="1"/>
  <c r="F812" i="1"/>
  <c r="F813" i="1"/>
  <c r="F814" i="1"/>
  <c r="F815" i="1"/>
  <c r="F816" i="1"/>
  <c r="F817" i="1"/>
  <c r="F818" i="1"/>
  <c r="F819" i="1"/>
  <c r="F820" i="1"/>
  <c r="F821" i="1"/>
  <c r="F822" i="1"/>
  <c r="F823" i="1"/>
  <c r="F824" i="1"/>
  <c r="F825" i="1"/>
  <c r="F826" i="1"/>
  <c r="F827" i="1"/>
  <c r="F828" i="1"/>
  <c r="F829" i="1"/>
  <c r="F830" i="1"/>
  <c r="F831" i="1"/>
  <c r="F832" i="1"/>
  <c r="F833" i="1"/>
  <c r="F834" i="1"/>
  <c r="F835" i="1"/>
  <c r="F836" i="1"/>
  <c r="F837" i="1"/>
  <c r="F838" i="1"/>
  <c r="F839" i="1"/>
  <c r="F840" i="1"/>
  <c r="F841" i="1"/>
  <c r="F842" i="1"/>
  <c r="F843" i="1"/>
  <c r="F844" i="1"/>
  <c r="F845" i="1"/>
  <c r="F846" i="1"/>
  <c r="F847" i="1"/>
  <c r="F848" i="1"/>
  <c r="F849" i="1"/>
  <c r="F850" i="1"/>
  <c r="F851" i="1"/>
  <c r="F852" i="1"/>
  <c r="F853" i="1"/>
  <c r="F854" i="1"/>
  <c r="F855" i="1"/>
  <c r="F856" i="1"/>
  <c r="F857" i="1"/>
  <c r="F858" i="1"/>
  <c r="F859" i="1"/>
  <c r="F860" i="1"/>
  <c r="F861" i="1"/>
  <c r="F862" i="1"/>
  <c r="F863" i="1"/>
  <c r="F864" i="1"/>
  <c r="F865" i="1"/>
  <c r="F866" i="1"/>
  <c r="F867" i="1"/>
  <c r="F868" i="1"/>
  <c r="F869" i="1"/>
  <c r="F870" i="1"/>
  <c r="F871" i="1"/>
  <c r="F872" i="1"/>
  <c r="F873" i="1"/>
  <c r="F874" i="1"/>
  <c r="F875" i="1"/>
  <c r="F876" i="1"/>
  <c r="F877" i="1"/>
  <c r="F878" i="1"/>
  <c r="F879" i="1"/>
  <c r="F880" i="1"/>
  <c r="F881" i="1"/>
  <c r="F882" i="1"/>
  <c r="F883" i="1"/>
  <c r="F884" i="1"/>
  <c r="F885" i="1"/>
  <c r="F886" i="1"/>
  <c r="F887" i="1"/>
  <c r="F888" i="1"/>
  <c r="F889" i="1"/>
  <c r="F890" i="1"/>
  <c r="F891" i="1"/>
  <c r="F892" i="1"/>
  <c r="F893" i="1"/>
  <c r="F894" i="1"/>
  <c r="F895" i="1"/>
  <c r="F896" i="1"/>
  <c r="F897" i="1"/>
  <c r="F898" i="1"/>
  <c r="F899" i="1"/>
  <c r="F900" i="1"/>
  <c r="F901" i="1"/>
  <c r="F902" i="1"/>
  <c r="F903" i="1"/>
  <c r="F904" i="1"/>
  <c r="F905" i="1"/>
  <c r="F906" i="1"/>
  <c r="F907" i="1"/>
  <c r="F908" i="1"/>
  <c r="F909" i="1"/>
  <c r="F910" i="1"/>
  <c r="F911" i="1"/>
  <c r="F912" i="1"/>
  <c r="F913" i="1"/>
  <c r="F914" i="1"/>
  <c r="F915" i="1"/>
  <c r="F916" i="1"/>
  <c r="F917" i="1"/>
  <c r="F918" i="1"/>
  <c r="F919" i="1"/>
  <c r="F920" i="1"/>
  <c r="F921" i="1"/>
  <c r="F922" i="1"/>
  <c r="F923" i="1"/>
  <c r="F924" i="1"/>
  <c r="F925" i="1"/>
  <c r="F926" i="1"/>
  <c r="F927" i="1"/>
  <c r="F928" i="1"/>
  <c r="F929" i="1"/>
  <c r="F930" i="1"/>
  <c r="F931" i="1"/>
  <c r="F932" i="1"/>
  <c r="F933" i="1"/>
  <c r="F934" i="1"/>
  <c r="F935" i="1"/>
  <c r="F936" i="1"/>
  <c r="F937" i="1"/>
  <c r="F938" i="1"/>
  <c r="F939" i="1"/>
  <c r="F940" i="1"/>
  <c r="F941" i="1"/>
  <c r="F942" i="1"/>
  <c r="F943" i="1"/>
  <c r="F944" i="1"/>
  <c r="F945" i="1"/>
  <c r="F946" i="1"/>
  <c r="F947" i="1"/>
  <c r="F948" i="1"/>
  <c r="F949" i="1"/>
  <c r="F950" i="1"/>
  <c r="F951" i="1"/>
  <c r="F952" i="1"/>
  <c r="F953" i="1"/>
  <c r="F954" i="1"/>
  <c r="F955" i="1"/>
  <c r="F956" i="1"/>
  <c r="F957" i="1"/>
  <c r="F958" i="1"/>
  <c r="F959" i="1"/>
  <c r="F960" i="1"/>
  <c r="F961" i="1"/>
  <c r="F962" i="1"/>
  <c r="F963" i="1"/>
  <c r="F964" i="1"/>
  <c r="F965" i="1"/>
  <c r="F966" i="1"/>
  <c r="F967" i="1"/>
  <c r="F968" i="1"/>
  <c r="F969" i="1"/>
  <c r="F970" i="1"/>
  <c r="F971" i="1"/>
  <c r="F972" i="1"/>
  <c r="F973" i="1"/>
  <c r="F974" i="1"/>
  <c r="F975" i="1"/>
  <c r="F976" i="1"/>
  <c r="F977" i="1"/>
  <c r="F978" i="1"/>
  <c r="F979" i="1"/>
  <c r="F980" i="1"/>
  <c r="F981" i="1"/>
  <c r="F982" i="1"/>
  <c r="F983" i="1"/>
  <c r="F984" i="1"/>
  <c r="F985" i="1"/>
  <c r="F986" i="1"/>
  <c r="F987" i="1"/>
  <c r="F988" i="1"/>
  <c r="F989" i="1"/>
  <c r="F990" i="1"/>
  <c r="F991" i="1"/>
  <c r="F992" i="1"/>
  <c r="F993" i="1"/>
  <c r="F994" i="1"/>
  <c r="F995" i="1"/>
  <c r="F996" i="1"/>
  <c r="F997" i="1"/>
  <c r="F998" i="1"/>
  <c r="F999" i="1"/>
  <c r="F1000" i="1"/>
  <c r="F1001" i="1"/>
  <c r="F1002" i="1"/>
  <c r="F1003" i="1"/>
  <c r="F1004" i="1"/>
  <c r="F1005" i="1"/>
  <c r="F1006" i="1"/>
  <c r="F1007" i="1"/>
  <c r="F1008" i="1"/>
  <c r="F1009" i="1"/>
  <c r="F1010" i="1"/>
  <c r="F1011" i="1"/>
  <c r="F1012" i="1"/>
  <c r="F1013" i="1"/>
  <c r="F1014" i="1"/>
  <c r="F1015" i="1"/>
  <c r="F1016" i="1"/>
  <c r="F1017" i="1"/>
  <c r="F1018" i="1"/>
  <c r="F1019" i="1"/>
  <c r="F1020" i="1"/>
  <c r="F1021" i="1"/>
  <c r="F1022" i="1"/>
  <c r="F1023" i="1"/>
  <c r="F1024" i="1"/>
  <c r="F1025" i="1"/>
  <c r="F1026" i="1"/>
  <c r="F1027" i="1"/>
  <c r="F1028" i="1"/>
  <c r="F1029" i="1"/>
  <c r="F1030" i="1"/>
  <c r="F1031" i="1"/>
  <c r="F1032" i="1"/>
  <c r="F1033" i="1"/>
  <c r="F1034" i="1"/>
  <c r="F1035" i="1"/>
  <c r="F1036" i="1"/>
  <c r="F1037" i="1"/>
  <c r="F1038" i="1"/>
  <c r="F1039" i="1"/>
  <c r="F1040" i="1"/>
  <c r="F1041" i="1"/>
  <c r="F1042" i="1"/>
  <c r="F1043" i="1"/>
  <c r="F1044" i="1"/>
  <c r="F1045" i="1"/>
  <c r="F1046" i="1"/>
  <c r="F1047" i="1"/>
  <c r="F1048" i="1"/>
  <c r="F1049" i="1"/>
  <c r="F1050" i="1"/>
  <c r="F1051" i="1"/>
  <c r="F1052" i="1"/>
  <c r="F1053" i="1"/>
  <c r="F1054" i="1"/>
  <c r="F1055" i="1"/>
  <c r="F1056" i="1"/>
  <c r="F1057" i="1"/>
  <c r="F1058" i="1"/>
  <c r="F1059" i="1"/>
  <c r="F1060" i="1"/>
  <c r="F1061" i="1"/>
  <c r="F1062" i="1"/>
  <c r="F1063" i="1"/>
  <c r="F1064" i="1"/>
  <c r="F1065" i="1"/>
  <c r="F1066" i="1"/>
  <c r="F1067" i="1"/>
  <c r="F1068" i="1"/>
  <c r="F1069" i="1"/>
  <c r="F1070" i="1"/>
  <c r="F1071" i="1"/>
  <c r="F1072" i="1"/>
  <c r="F1073" i="1"/>
  <c r="F1074" i="1"/>
  <c r="F1075" i="1"/>
  <c r="F1076" i="1"/>
  <c r="F1077" i="1"/>
  <c r="F1078" i="1"/>
  <c r="F1079" i="1"/>
  <c r="F1080" i="1"/>
  <c r="F1081" i="1"/>
  <c r="F1082" i="1"/>
  <c r="F1083" i="1"/>
  <c r="F1084" i="1"/>
  <c r="F1085" i="1"/>
  <c r="F1086" i="1"/>
  <c r="F1087" i="1"/>
  <c r="F1088" i="1"/>
  <c r="F1089" i="1"/>
  <c r="F1090" i="1"/>
  <c r="F1091" i="1"/>
  <c r="F1092" i="1"/>
  <c r="F1093" i="1"/>
  <c r="F1094" i="1"/>
  <c r="F1095" i="1"/>
  <c r="E2" i="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002" i="1"/>
  <c r="E1003" i="1"/>
  <c r="E1004" i="1"/>
  <c r="E1005" i="1"/>
  <c r="E1006" i="1"/>
  <c r="E1007" i="1"/>
  <c r="E1008" i="1"/>
  <c r="E1009" i="1"/>
  <c r="E1010" i="1"/>
  <c r="E1011" i="1"/>
  <c r="E1012" i="1"/>
  <c r="E1013" i="1"/>
  <c r="E1014" i="1"/>
  <c r="E1015" i="1"/>
  <c r="E1016" i="1"/>
  <c r="E1017" i="1"/>
  <c r="E1018" i="1"/>
  <c r="E1019" i="1"/>
  <c r="E1020" i="1"/>
  <c r="E1021" i="1"/>
  <c r="E1022" i="1"/>
  <c r="E1023" i="1"/>
  <c r="E1024" i="1"/>
  <c r="E1025" i="1"/>
  <c r="E1026" i="1"/>
  <c r="E1027" i="1"/>
  <c r="E1028" i="1"/>
  <c r="E1029" i="1"/>
  <c r="E1030" i="1"/>
  <c r="E1031" i="1"/>
  <c r="E1032" i="1"/>
  <c r="E1033" i="1"/>
  <c r="E1034" i="1"/>
  <c r="E1035" i="1"/>
  <c r="E1036" i="1"/>
  <c r="E1037" i="1"/>
  <c r="E1038" i="1"/>
  <c r="E1039" i="1"/>
  <c r="E1040" i="1"/>
  <c r="E1041" i="1"/>
  <c r="E1042" i="1"/>
  <c r="E1043" i="1"/>
  <c r="E1044" i="1"/>
  <c r="E1045" i="1"/>
  <c r="E1046" i="1"/>
  <c r="E1047" i="1"/>
  <c r="E1048" i="1"/>
  <c r="E1049" i="1"/>
  <c r="E1050" i="1"/>
  <c r="E1051" i="1"/>
  <c r="E1052" i="1"/>
  <c r="E1053" i="1"/>
  <c r="E1054" i="1"/>
  <c r="E1055" i="1"/>
  <c r="E1056" i="1"/>
  <c r="E1057" i="1"/>
  <c r="E1058" i="1"/>
  <c r="E1059" i="1"/>
  <c r="E1060" i="1"/>
  <c r="E1061" i="1"/>
  <c r="E1062" i="1"/>
  <c r="E1063" i="1"/>
  <c r="E1064" i="1"/>
  <c r="E1065" i="1"/>
  <c r="E1066" i="1"/>
  <c r="E1067" i="1"/>
  <c r="E1068" i="1"/>
  <c r="E1069" i="1"/>
  <c r="E1070" i="1"/>
  <c r="E1071" i="1"/>
  <c r="E1072" i="1"/>
  <c r="E1073" i="1"/>
  <c r="E1074" i="1"/>
  <c r="E1075" i="1"/>
  <c r="E1076" i="1"/>
  <c r="E1077" i="1"/>
  <c r="E1078" i="1"/>
  <c r="E1079" i="1"/>
  <c r="E1080" i="1"/>
  <c r="E1081" i="1"/>
  <c r="E1082" i="1"/>
  <c r="E1083" i="1"/>
  <c r="E1084" i="1"/>
  <c r="E1085" i="1"/>
  <c r="E1086" i="1"/>
  <c r="E1087" i="1"/>
  <c r="E1088" i="1"/>
  <c r="E1089" i="1"/>
  <c r="E1090" i="1"/>
  <c r="E1091" i="1"/>
  <c r="E1092" i="1"/>
  <c r="E1093" i="1"/>
  <c r="E1094" i="1"/>
  <c r="E1095" i="1"/>
</calcChain>
</file>

<file path=xl/sharedStrings.xml><?xml version="1.0" encoding="utf-8"?>
<sst xmlns="http://schemas.openxmlformats.org/spreadsheetml/2006/main" count="3382" uniqueCount="80">
  <si>
    <t>Sales Person</t>
  </si>
  <si>
    <t>Country</t>
  </si>
  <si>
    <t>Product</t>
  </si>
  <si>
    <t>Date</t>
  </si>
  <si>
    <t>Amount</t>
  </si>
  <si>
    <t>Boxes Shipped</t>
  </si>
  <si>
    <t>Jehu Rudeforth</t>
  </si>
  <si>
    <t>UK</t>
  </si>
  <si>
    <t>Mint Chip Choco</t>
  </si>
  <si>
    <t>Van Tuxwell</t>
  </si>
  <si>
    <t>India</t>
  </si>
  <si>
    <t>85% Dark Bars</t>
  </si>
  <si>
    <t>Gigi Bohling</t>
  </si>
  <si>
    <t>Peanut Butter Cubes</t>
  </si>
  <si>
    <t>Jan Morforth</t>
  </si>
  <si>
    <t>Australia</t>
  </si>
  <si>
    <t>Smooth Sliky Salty</t>
  </si>
  <si>
    <t>Oby Sorrel</t>
  </si>
  <si>
    <t>99% Dark &amp; Pure</t>
  </si>
  <si>
    <t>Gunar Cockshoot</t>
  </si>
  <si>
    <t>After Nines</t>
  </si>
  <si>
    <t>New Zealand</t>
  </si>
  <si>
    <t>50% Dark Bites</t>
  </si>
  <si>
    <t>Brien Boise</t>
  </si>
  <si>
    <t>Rafaelita Blaksland</t>
  </si>
  <si>
    <t>Barr Faughny</t>
  </si>
  <si>
    <t>USA</t>
  </si>
  <si>
    <t>Orange Choco</t>
  </si>
  <si>
    <t>Mallorie Waber</t>
  </si>
  <si>
    <t>Canada</t>
  </si>
  <si>
    <t>Eclairs</t>
  </si>
  <si>
    <t>Karlen McCaffrey</t>
  </si>
  <si>
    <t>Drinking Coco</t>
  </si>
  <si>
    <t>Marney O'Breen</t>
  </si>
  <si>
    <t>Beverie Moffet</t>
  </si>
  <si>
    <t>Organic Choco Syrup</t>
  </si>
  <si>
    <t>Roddy Speechley</t>
  </si>
  <si>
    <t>Milk Bars</t>
  </si>
  <si>
    <t>Curtice Advani</t>
  </si>
  <si>
    <t>Spicy Special Slims</t>
  </si>
  <si>
    <t>Husein Augar</t>
  </si>
  <si>
    <t>Kaine Padly</t>
  </si>
  <si>
    <t>Fruit &amp; Nut Bars</t>
  </si>
  <si>
    <t>Dennison Crosswaite</t>
  </si>
  <si>
    <t>White Choc</t>
  </si>
  <si>
    <t>Manuka Honey Choco</t>
  </si>
  <si>
    <t>Wilone O'Kielt</t>
  </si>
  <si>
    <t>Almond Choco</t>
  </si>
  <si>
    <t>Andria Kimpton</t>
  </si>
  <si>
    <t>Kelci Walkden</t>
  </si>
  <si>
    <t>Camilla Castle</t>
  </si>
  <si>
    <t>Raspberry Choco</t>
  </si>
  <si>
    <t>Choco Coated Almonds</t>
  </si>
  <si>
    <t>Madelene Upcott</t>
  </si>
  <si>
    <t>Dotty Strutley</t>
  </si>
  <si>
    <t>Ches Bonnell</t>
  </si>
  <si>
    <t>Baker's Choco Chips</t>
  </si>
  <si>
    <t>Caramel Stuffed Bars</t>
  </si>
  <si>
    <t>70% Dark Bites</t>
  </si>
  <si>
    <t>Day_Name</t>
  </si>
  <si>
    <t>Month</t>
  </si>
  <si>
    <t>Column Labels</t>
  </si>
  <si>
    <t>Row Labels</t>
  </si>
  <si>
    <t>Sum of Boxes Shipped</t>
  </si>
  <si>
    <t>Table 1</t>
  </si>
  <si>
    <t>Table 2</t>
  </si>
  <si>
    <t>Table 3</t>
  </si>
  <si>
    <t>Count of Product</t>
  </si>
  <si>
    <t>Jan</t>
  </si>
  <si>
    <t>Feb</t>
  </si>
  <si>
    <t>Mar</t>
  </si>
  <si>
    <t>Apr</t>
  </si>
  <si>
    <t>May</t>
  </si>
  <si>
    <t>Jun</t>
  </si>
  <si>
    <t>Jul</t>
  </si>
  <si>
    <t>Aug</t>
  </si>
  <si>
    <t>Table4</t>
  </si>
  <si>
    <t>Table5</t>
  </si>
  <si>
    <t>Sum of Amount</t>
  </si>
  <si>
    <t>Table6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</si>
</sst>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5" formatCode="_-[$$-409]* #,##0.00_ ;_-[$$-409]* \-#,##0.00\ ;_-[$$-409]* &quot;-&quot;??_ ;_-@_ "/>
  </numFmts>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9">
    <xf numFmtId="0" fontId="0" fillId="0" borderId="0" xfId="0"/>
    <xf numFmtId="15" fontId="0" fillId="0" borderId="0" xfId="0" applyNumberFormat="1"/>
    <xf numFmtId="14" fontId="0" fillId="0" borderId="0" xfId="0" applyNumberFormat="1"/>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165" fontId="0" fillId="0" borderId="0" xfId="0" applyNumberFormat="1"/>
    <xf numFmtId="0" fontId="0" fillId="33" borderId="0" xfId="0" applyFont="1"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4">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20" formatCode="dd/mmm/yy"/>
    </dxf>
    <dxf>
      <numFmt numFmtId="19" formatCode="dd/mm/yyyy"/>
    </dxf>
    <dxf>
      <numFmt numFmtId="20" formatCode="dd/mmm/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[Chocolate_Sales.xlsm]Pivot table!PivotTable1</c:name>
    <c:fmtId val="10"/>
  </c:pivotSource>
  <c:chart>
    <c:title>
      <c:tx>
        <c:rich>
          <a:bodyPr rot="0" spcFirstLastPara="1" vertOverflow="ellipsis" vert="horz" wrap="square" anchor="ctr" anchorCtr="1"/>
          <a:lstStyle/>
          <a:p>
            <a:pPr>
              <a:defRPr b="0" i="0" u="none" strike="noStrike" kern="1200" baseline="0">
                <a:solidFill>
                  <a:schemeClr val="dk1">
                    <a:lumMod val="65000"/>
                    <a:lumOff val="35000"/>
                  </a:schemeClr>
                </a:solidFill>
                <a:effectLst/>
                <a:latin typeface="+mn-lt"/>
                <a:ea typeface="+mn-ea"/>
                <a:cs typeface="+mn-cs"/>
              </a:defRPr>
            </a:pPr>
            <a:r>
              <a:rPr lang="en-US" b="1">
                <a:solidFill>
                  <a:srgbClr val="FF0000"/>
                </a:solidFill>
              </a:rPr>
              <a:t>Boxes shipped By Sales Person</a:t>
            </a:r>
          </a:p>
        </c:rich>
      </c:tx>
      <c:overlay val="0"/>
      <c:spPr>
        <a:noFill/>
        <a:ln>
          <a:noFill/>
        </a:ln>
        <a:effectLst/>
      </c:spPr>
      <c:txPr>
        <a:bodyPr rot="0" spcFirstLastPara="1" vertOverflow="ellipsis" vert="horz" wrap="square" anchor="ctr" anchorCtr="1"/>
        <a:lstStyle/>
        <a:p>
          <a:pPr>
            <a:defRPr b="0" i="0" u="none" strike="noStrike" kern="1200" baseline="0">
              <a:solidFill>
                <a:schemeClr val="dk1">
                  <a:lumMod val="65000"/>
                  <a:lumOff val="35000"/>
                </a:schemeClr>
              </a:solidFill>
              <a:effectLst/>
              <a:latin typeface="+mn-lt"/>
              <a:ea typeface="+mn-ea"/>
              <a:cs typeface="+mn-cs"/>
            </a:defRPr>
          </a:pPr>
          <a:endParaRPr lang="en-US"/>
        </a:p>
      </c:txPr>
    </c:title>
    <c:autoTitleDeleted val="0"/>
    <c:pivotFmts>
      <c:pivotFmt>
        <c:idx val="0"/>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circle"/>
          <c:size val="6"/>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65000"/>
                      <a:lumOff val="3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1956548417873106E-2"/>
          <c:y val="0.14604651162790697"/>
          <c:w val="0.9187208386282032"/>
          <c:h val="0.57124440840243806"/>
        </c:manualLayout>
      </c:layout>
      <c:barChart>
        <c:barDir val="col"/>
        <c:grouping val="clustered"/>
        <c:varyColors val="0"/>
        <c:ser>
          <c:idx val="0"/>
          <c:order val="0"/>
          <c:tx>
            <c:strRef>
              <c:f>'Pivot table'!$B$3</c:f>
              <c:strCache>
                <c:ptCount val="1"/>
                <c:pt idx="0">
                  <c:v>Total</c:v>
                </c:pt>
              </c:strCache>
            </c:strRef>
          </c:tx>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65000"/>
                        <a:lumOff val="3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table'!$A$4:$A$28</c:f>
              <c:strCache>
                <c:ptCount val="25"/>
                <c:pt idx="0">
                  <c:v>Andria Kimpton</c:v>
                </c:pt>
                <c:pt idx="1">
                  <c:v>Barr Faughny</c:v>
                </c:pt>
                <c:pt idx="2">
                  <c:v>Beverie Moffet</c:v>
                </c:pt>
                <c:pt idx="3">
                  <c:v>Brien Boise</c:v>
                </c:pt>
                <c:pt idx="4">
                  <c:v>Camilla Castle</c:v>
                </c:pt>
                <c:pt idx="5">
                  <c:v>Ches Bonnell</c:v>
                </c:pt>
                <c:pt idx="6">
                  <c:v>Curtice Advani</c:v>
                </c:pt>
                <c:pt idx="7">
                  <c:v>Dennison Crosswaite</c:v>
                </c:pt>
                <c:pt idx="8">
                  <c:v>Dotty Strutley</c:v>
                </c:pt>
                <c:pt idx="9">
                  <c:v>Gigi Bohling</c:v>
                </c:pt>
                <c:pt idx="10">
                  <c:v>Gunar Cockshoot</c:v>
                </c:pt>
                <c:pt idx="11">
                  <c:v>Husein Augar</c:v>
                </c:pt>
                <c:pt idx="12">
                  <c:v>Jan Morforth</c:v>
                </c:pt>
                <c:pt idx="13">
                  <c:v>Jehu Rudeforth</c:v>
                </c:pt>
                <c:pt idx="14">
                  <c:v>Kaine Padly</c:v>
                </c:pt>
                <c:pt idx="15">
                  <c:v>Karlen McCaffrey</c:v>
                </c:pt>
                <c:pt idx="16">
                  <c:v>Kelci Walkden</c:v>
                </c:pt>
                <c:pt idx="17">
                  <c:v>Madelene Upcott</c:v>
                </c:pt>
                <c:pt idx="18">
                  <c:v>Mallorie Waber</c:v>
                </c:pt>
                <c:pt idx="19">
                  <c:v>Marney O'Breen</c:v>
                </c:pt>
                <c:pt idx="20">
                  <c:v>Oby Sorrel</c:v>
                </c:pt>
                <c:pt idx="21">
                  <c:v>Rafaelita Blaksland</c:v>
                </c:pt>
                <c:pt idx="22">
                  <c:v>Roddy Speechley</c:v>
                </c:pt>
                <c:pt idx="23">
                  <c:v>Van Tuxwell</c:v>
                </c:pt>
                <c:pt idx="24">
                  <c:v>Wilone O'Kielt</c:v>
                </c:pt>
              </c:strCache>
            </c:strRef>
          </c:cat>
          <c:val>
            <c:numRef>
              <c:f>'Pivot table'!$B$4:$B$28</c:f>
              <c:numCache>
                <c:formatCode>General</c:formatCode>
                <c:ptCount val="25"/>
                <c:pt idx="0">
                  <c:v>6448</c:v>
                </c:pt>
                <c:pt idx="1">
                  <c:v>6366</c:v>
                </c:pt>
                <c:pt idx="2">
                  <c:v>9214</c:v>
                </c:pt>
                <c:pt idx="3">
                  <c:v>8102</c:v>
                </c:pt>
                <c:pt idx="4">
                  <c:v>5374</c:v>
                </c:pt>
                <c:pt idx="5">
                  <c:v>7522</c:v>
                </c:pt>
                <c:pt idx="6">
                  <c:v>7074</c:v>
                </c:pt>
                <c:pt idx="7">
                  <c:v>8767</c:v>
                </c:pt>
                <c:pt idx="8">
                  <c:v>6853</c:v>
                </c:pt>
                <c:pt idx="9">
                  <c:v>6303</c:v>
                </c:pt>
                <c:pt idx="10">
                  <c:v>6677</c:v>
                </c:pt>
                <c:pt idx="11">
                  <c:v>5849</c:v>
                </c:pt>
                <c:pt idx="12">
                  <c:v>7661</c:v>
                </c:pt>
                <c:pt idx="13">
                  <c:v>7246</c:v>
                </c:pt>
                <c:pt idx="14">
                  <c:v>7253</c:v>
                </c:pt>
                <c:pt idx="15">
                  <c:v>9658</c:v>
                </c:pt>
                <c:pt idx="16">
                  <c:v>8702</c:v>
                </c:pt>
                <c:pt idx="17">
                  <c:v>7279</c:v>
                </c:pt>
                <c:pt idx="18">
                  <c:v>5980</c:v>
                </c:pt>
                <c:pt idx="19">
                  <c:v>8043</c:v>
                </c:pt>
                <c:pt idx="20">
                  <c:v>8608</c:v>
                </c:pt>
                <c:pt idx="21">
                  <c:v>4297</c:v>
                </c:pt>
                <c:pt idx="22">
                  <c:v>6899</c:v>
                </c:pt>
                <c:pt idx="23">
                  <c:v>6799</c:v>
                </c:pt>
                <c:pt idx="24">
                  <c:v>4033</c:v>
                </c:pt>
              </c:numCache>
            </c:numRef>
          </c:val>
          <c:extLst>
            <c:ext xmlns:c16="http://schemas.microsoft.com/office/drawing/2014/chart" uri="{C3380CC4-5D6E-409C-BE32-E72D297353CC}">
              <c16:uniqueId val="{00000000-36C9-4FF9-AF23-990766365B58}"/>
            </c:ext>
          </c:extLst>
        </c:ser>
        <c:dLbls>
          <c:dLblPos val="inEnd"/>
          <c:showLegendKey val="0"/>
          <c:showVal val="1"/>
          <c:showCatName val="0"/>
          <c:showSerName val="0"/>
          <c:showPercent val="0"/>
          <c:showBubbleSize val="0"/>
        </c:dLbls>
        <c:gapWidth val="41"/>
        <c:axId val="483850816"/>
        <c:axId val="483855616"/>
      </c:barChart>
      <c:catAx>
        <c:axId val="48385081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effectLst/>
                <a:latin typeface="+mn-lt"/>
                <a:ea typeface="+mn-ea"/>
                <a:cs typeface="+mn-cs"/>
              </a:defRPr>
            </a:pPr>
            <a:endParaRPr lang="en-US"/>
          </a:p>
        </c:txPr>
        <c:crossAx val="483855616"/>
        <c:crosses val="autoZero"/>
        <c:auto val="1"/>
        <c:lblAlgn val="ctr"/>
        <c:lblOffset val="100"/>
        <c:noMultiLvlLbl val="0"/>
      </c:catAx>
      <c:valAx>
        <c:axId val="483855616"/>
        <c:scaling>
          <c:orientation val="minMax"/>
        </c:scaling>
        <c:delete val="1"/>
        <c:axPos val="l"/>
        <c:numFmt formatCode="General" sourceLinked="1"/>
        <c:majorTickMark val="none"/>
        <c:minorTickMark val="none"/>
        <c:tickLblPos val="nextTo"/>
        <c:crossAx val="4838508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[Chocolate_Sales.xlsm]Pivot table!PivotTable4</c:name>
    <c:fmtId val="16"/>
  </c:pivotSource>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US">
                <a:solidFill>
                  <a:srgbClr val="FF0000"/>
                </a:solidFill>
              </a:rPr>
              <a:t>Top 10 Most Popular Products</a:t>
            </a:r>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ivotFmts>
      <c:pivotFmt>
        <c:idx val="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 table'!$K$3</c:f>
              <c:strCache>
                <c:ptCount val="1"/>
                <c:pt idx="0">
                  <c:v>Total</c:v>
                </c:pt>
              </c:strCache>
            </c:strRef>
          </c:tx>
          <c:spPr>
            <a:ln w="22225" cap="rnd">
              <a:solidFill>
                <a:schemeClr val="accent1"/>
              </a:solidFill>
              <a:round/>
            </a:ln>
            <a:effectLst/>
          </c:spPr>
          <c:marker>
            <c:symbol val="circle"/>
            <c:size val="6"/>
            <c:spPr>
              <a:solidFill>
                <a:schemeClr val="lt1"/>
              </a:solidFill>
              <a:ln w="1587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'Pivot table'!$J$4:$J$11</c:f>
              <c:strCache>
                <c:ptCount val="8"/>
                <c:pt idx="0">
                  <c:v>Jan</c:v>
                </c:pt>
                <c:pt idx="1">
                  <c:v>Feb</c:v>
                </c:pt>
                <c:pt idx="2">
                  <c:v>Mar</c:v>
                </c:pt>
                <c:pt idx="3">
                  <c:v>Apr</c:v>
                </c:pt>
                <c:pt idx="4">
                  <c:v>May</c:v>
                </c:pt>
                <c:pt idx="5">
                  <c:v>Jun</c:v>
                </c:pt>
                <c:pt idx="6">
                  <c:v>Jul</c:v>
                </c:pt>
                <c:pt idx="7">
                  <c:v>Aug</c:v>
                </c:pt>
              </c:strCache>
            </c:strRef>
          </c:cat>
          <c:val>
            <c:numRef>
              <c:f>'Pivot table'!$K$4:$K$11</c:f>
              <c:numCache>
                <c:formatCode>General</c:formatCode>
                <c:ptCount val="8"/>
                <c:pt idx="0">
                  <c:v>27535</c:v>
                </c:pt>
                <c:pt idx="1">
                  <c:v>18015</c:v>
                </c:pt>
                <c:pt idx="2">
                  <c:v>19561</c:v>
                </c:pt>
                <c:pt idx="3">
                  <c:v>21003</c:v>
                </c:pt>
                <c:pt idx="4">
                  <c:v>21856</c:v>
                </c:pt>
                <c:pt idx="5">
                  <c:v>26260</c:v>
                </c:pt>
                <c:pt idx="6">
                  <c:v>22876</c:v>
                </c:pt>
                <c:pt idx="7">
                  <c:v>19901</c:v>
                </c:pt>
              </c:numCache>
            </c:numRef>
          </c:val>
          <c:smooth val="0"/>
          <c:extLst>
            <c:ext xmlns:c16="http://schemas.microsoft.com/office/drawing/2014/chart" uri="{C3380CC4-5D6E-409C-BE32-E72D297353CC}">
              <c16:uniqueId val="{00000000-6E99-48F2-A226-08BBBA8D3B30}"/>
            </c:ext>
          </c:extLst>
        </c:ser>
        <c:dLbls>
          <c:dLblPos val="t"/>
          <c:showLegendKey val="0"/>
          <c:showVal val="1"/>
          <c:showCatName val="0"/>
          <c:showSerName val="0"/>
          <c:showPercent val="0"/>
          <c:showBubbleSize val="0"/>
        </c:dLbls>
        <c:marker val="1"/>
        <c:smooth val="0"/>
        <c:axId val="1221293824"/>
        <c:axId val="1221272224"/>
      </c:lineChart>
      <c:catAx>
        <c:axId val="1221293824"/>
        <c:scaling>
          <c:orientation val="minMax"/>
        </c:scaling>
        <c:delete val="0"/>
        <c:axPos val="b"/>
        <c:majorGridlines>
          <c:spPr>
            <a:ln w="9525" cap="flat" cmpd="sng" algn="ctr">
              <a:solidFill>
                <a:schemeClr val="dk1">
                  <a:lumMod val="15000"/>
                  <a:lumOff val="85000"/>
                  <a:alpha val="54000"/>
                </a:schemeClr>
              </a:solidFill>
              <a:round/>
            </a:ln>
            <a:effectLst/>
          </c:spPr>
        </c:majorGridlines>
        <c:minorGridlines>
          <c:spPr>
            <a:ln w="9525" cap="flat" cmpd="sng" algn="ctr">
              <a:solidFill>
                <a:schemeClr val="dk1">
                  <a:lumMod val="15000"/>
                  <a:lumOff val="85000"/>
                  <a:alpha val="51000"/>
                </a:schemeClr>
              </a:solidFill>
              <a:round/>
            </a:ln>
            <a:effectLst/>
          </c:spPr>
        </c:min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221272224"/>
        <c:crosses val="autoZero"/>
        <c:auto val="1"/>
        <c:lblAlgn val="ctr"/>
        <c:lblOffset val="100"/>
        <c:noMultiLvlLbl val="0"/>
      </c:catAx>
      <c:valAx>
        <c:axId val="1221272224"/>
        <c:scaling>
          <c:orientation val="minMax"/>
        </c:scaling>
        <c:delete val="0"/>
        <c:axPos val="l"/>
        <c:majorGridlines>
          <c:spPr>
            <a:ln w="9525" cap="flat" cmpd="sng" algn="ctr">
              <a:solidFill>
                <a:schemeClr val="dk1">
                  <a:lumMod val="15000"/>
                  <a:lumOff val="85000"/>
                  <a:alpha val="54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221293824"/>
        <c:crosses val="autoZero"/>
        <c:crossBetween val="between"/>
      </c:valAx>
      <c:spPr>
        <a:pattFill prst="ltDnDiag">
          <a:fgClr>
            <a:schemeClr val="dk1">
              <a:lumMod val="15000"/>
              <a:lumOff val="85000"/>
            </a:schemeClr>
          </a:fgClr>
          <a:bgClr>
            <a:schemeClr val="lt1"/>
          </a:bgClr>
        </a:patt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[Chocolate_Sales.xlsm]Pivot table!PivotTable2</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rgbClr val="FF0000"/>
                </a:solidFill>
              </a:rPr>
              <a:t>Boxes Shipped by Country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s>
    <c:plotArea>
      <c:layout/>
      <c:pieChart>
        <c:varyColors val="1"/>
        <c:ser>
          <c:idx val="0"/>
          <c:order val="0"/>
          <c:tx>
            <c:strRef>
              <c:f>'Pivot table'!$E$3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4B3-4C6A-930D-79A079F415A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4B3-4C6A-930D-79A079F415A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4B3-4C6A-930D-79A079F415A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4B3-4C6A-930D-79A079F415A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4B3-4C6A-930D-79A079F415A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B4B3-4C6A-930D-79A079F415AC}"/>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table'!$D$4:$D$9</c:f>
              <c:strCache>
                <c:ptCount val="6"/>
                <c:pt idx="0">
                  <c:v>Australia</c:v>
                </c:pt>
                <c:pt idx="1">
                  <c:v>Canada</c:v>
                </c:pt>
                <c:pt idx="2">
                  <c:v>India</c:v>
                </c:pt>
                <c:pt idx="3">
                  <c:v>New Zealand</c:v>
                </c:pt>
                <c:pt idx="4">
                  <c:v>UK</c:v>
                </c:pt>
                <c:pt idx="5">
                  <c:v>USA</c:v>
                </c:pt>
              </c:strCache>
            </c:strRef>
          </c:cat>
          <c:val>
            <c:numRef>
              <c:f>'Pivot table'!$E$4:$E$9</c:f>
              <c:numCache>
                <c:formatCode>0.00%</c:formatCode>
                <c:ptCount val="6"/>
                <c:pt idx="0">
                  <c:v>0.18443903348455146</c:v>
                </c:pt>
                <c:pt idx="1">
                  <c:v>0.17638285491534234</c:v>
                </c:pt>
                <c:pt idx="2">
                  <c:v>0.16649059076759676</c:v>
                </c:pt>
                <c:pt idx="3">
                  <c:v>0.15016355285384195</c:v>
                </c:pt>
                <c:pt idx="4">
                  <c:v>0.17098193856740129</c:v>
                </c:pt>
                <c:pt idx="5">
                  <c:v>0.15154202941126621</c:v>
                </c:pt>
              </c:numCache>
            </c:numRef>
          </c:val>
          <c:extLst>
            <c:ext xmlns:c16="http://schemas.microsoft.com/office/drawing/2014/chart" uri="{C3380CC4-5D6E-409C-BE32-E72D297353CC}">
              <c16:uniqueId val="{0000000C-B4B3-4C6A-930D-79A079F415AC}"/>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[Chocolate_Sales.xlsm]Pivot table!PivotTable5</c:name>
    <c:fmtId val="2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solidFill>
                  <a:srgbClr val="FF0000"/>
                </a:solidFill>
              </a:rPr>
              <a:t>Country Distribution By Amount</a:t>
            </a:r>
          </a:p>
        </c:rich>
      </c:tx>
      <c:layout>
        <c:manualLayout>
          <c:xMode val="edge"/>
          <c:yMode val="edge"/>
          <c:x val="0.12856139270538691"/>
          <c:y val="1.7777777777777778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1"/>
        <c:spPr>
          <a:solidFill>
            <a:schemeClr val="accent6"/>
          </a:solidFill>
          <a:ln>
            <a:noFill/>
          </a:ln>
          <a:effectLst>
            <a:outerShdw blurRad="254000" sx="102000" sy="102000" algn="ctr" rotWithShape="0">
              <a:prstClr val="black">
                <a:alpha val="20000"/>
              </a:prstClr>
            </a:outerShdw>
          </a:effectLst>
        </c:spPr>
        <c:dLbl>
          <c:idx val="0"/>
          <c:layout>
            <c:manualLayout>
              <c:x val="-1.3888888888888888E-2"/>
              <c:y val="9.2592592592592171E-3"/>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dLbl>
          <c:idx val="0"/>
          <c:layout>
            <c:manualLayout>
              <c:x val="-1.3888888888888888E-2"/>
              <c:y val="9.2592592592592171E-3"/>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9"/>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dLbl>
          <c:idx val="0"/>
          <c:layout>
            <c:manualLayout>
              <c:x val="-1.3888888888888888E-2"/>
              <c:y val="9.2592592592592171E-3"/>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s>
    <c:plotArea>
      <c:layout>
        <c:manualLayout>
          <c:layoutTarget val="inner"/>
          <c:xMode val="edge"/>
          <c:yMode val="edge"/>
          <c:x val="7.0559933120209209E-2"/>
          <c:y val="0.1204304461942257"/>
          <c:w val="0.59366775827008955"/>
          <c:h val="0.85290288713910756"/>
        </c:manualLayout>
      </c:layout>
      <c:doughnutChart>
        <c:varyColors val="1"/>
        <c:ser>
          <c:idx val="0"/>
          <c:order val="0"/>
          <c:tx>
            <c:strRef>
              <c:f>'Pivot table'!$P$4</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9736-4BE4-B0E4-CABBF1F80392}"/>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9736-4BE4-B0E4-CABBF1F80392}"/>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9736-4BE4-B0E4-CABBF1F80392}"/>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9736-4BE4-B0E4-CABBF1F80392}"/>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9736-4BE4-B0E4-CABBF1F80392}"/>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9736-4BE4-B0E4-CABBF1F80392}"/>
              </c:ext>
            </c:extLst>
          </c:dPt>
          <c:dLbls>
            <c:dLbl>
              <c:idx val="5"/>
              <c:layout>
                <c:manualLayout>
                  <c:x val="-1.3888888888888888E-2"/>
                  <c:y val="9.2592592592592171E-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B-9736-4BE4-B0E4-CABBF1F80392}"/>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s>
          <c:cat>
            <c:strRef>
              <c:f>'Pivot table'!$O$5:$O$10</c:f>
              <c:strCache>
                <c:ptCount val="6"/>
                <c:pt idx="0">
                  <c:v>Australia</c:v>
                </c:pt>
                <c:pt idx="1">
                  <c:v>Canada</c:v>
                </c:pt>
                <c:pt idx="2">
                  <c:v>India</c:v>
                </c:pt>
                <c:pt idx="3">
                  <c:v>New Zealand</c:v>
                </c:pt>
                <c:pt idx="4">
                  <c:v>UK</c:v>
                </c:pt>
                <c:pt idx="5">
                  <c:v>USA</c:v>
                </c:pt>
              </c:strCache>
            </c:strRef>
          </c:cat>
          <c:val>
            <c:numRef>
              <c:f>'Pivot table'!$P$5:$P$10</c:f>
              <c:numCache>
                <c:formatCode>General</c:formatCode>
                <c:ptCount val="6"/>
                <c:pt idx="0">
                  <c:v>1137367</c:v>
                </c:pt>
                <c:pt idx="1">
                  <c:v>962899</c:v>
                </c:pt>
                <c:pt idx="2">
                  <c:v>1045800</c:v>
                </c:pt>
                <c:pt idx="3">
                  <c:v>950418</c:v>
                </c:pt>
                <c:pt idx="4">
                  <c:v>1051792</c:v>
                </c:pt>
                <c:pt idx="5">
                  <c:v>1035349</c:v>
                </c:pt>
              </c:numCache>
            </c:numRef>
          </c:val>
          <c:extLst>
            <c:ext xmlns:c16="http://schemas.microsoft.com/office/drawing/2014/chart" uri="{C3380CC4-5D6E-409C-BE32-E72D297353CC}">
              <c16:uniqueId val="{0000000C-9736-4BE4-B0E4-CABBF1F80392}"/>
            </c:ext>
          </c:extLst>
        </c:ser>
        <c:dLbls>
          <c:showLegendKey val="0"/>
          <c:showVal val="0"/>
          <c:showCatName val="0"/>
          <c:showSerName val="0"/>
          <c:showPercent val="0"/>
          <c:showBubbleSize val="0"/>
          <c:showLeaderLines val="0"/>
        </c:dLbls>
        <c:firstSliceAng val="0"/>
        <c:holeSize val="50"/>
      </c:doughnutChart>
      <c:spPr>
        <a:noFill/>
        <a:ln>
          <a:noFill/>
        </a:ln>
        <a:effectLst/>
      </c:spPr>
    </c:plotArea>
    <c:legend>
      <c:legendPos val="r"/>
      <c:layout>
        <c:manualLayout>
          <c:xMode val="edge"/>
          <c:yMode val="edge"/>
          <c:x val="0.67561718140266336"/>
          <c:y val="0.26826491688538934"/>
          <c:w val="0.28725985780249613"/>
          <c:h val="0.52555870516185477"/>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[Chocolate_Sales.xlsm]Pivot table!PivotTable6</c:name>
    <c:fmtId val="21"/>
  </c:pivotSource>
  <c:chart>
    <c:title>
      <c:tx>
        <c:rich>
          <a:bodyPr rot="0" spcFirstLastPara="1" vertOverflow="ellipsis" vert="horz" wrap="square" anchor="ctr" anchorCtr="1"/>
          <a:lstStyle/>
          <a:p>
            <a:pPr>
              <a:defRPr sz="1100" b="1" i="0" u="none" strike="noStrike" kern="1200" cap="all" spc="120" normalizeH="0" baseline="0">
                <a:solidFill>
                  <a:schemeClr val="tx1">
                    <a:lumMod val="65000"/>
                    <a:lumOff val="35000"/>
                  </a:schemeClr>
                </a:solidFill>
                <a:latin typeface="+mn-lt"/>
                <a:ea typeface="+mn-ea"/>
                <a:cs typeface="+mn-cs"/>
              </a:defRPr>
            </a:pPr>
            <a:r>
              <a:rPr lang="en-IN" sz="1100" baseline="0">
                <a:solidFill>
                  <a:srgbClr val="FF0000"/>
                </a:solidFill>
              </a:rPr>
              <a:t>Sales Person VS AMOUNT </a:t>
            </a:r>
          </a:p>
          <a:p>
            <a:pPr>
              <a:defRPr sz="1100"/>
            </a:pPr>
            <a:r>
              <a:rPr lang="en-IN" sz="1100" baseline="0">
                <a:solidFill>
                  <a:srgbClr val="FF0000"/>
                </a:solidFill>
              </a:rPr>
              <a:t>BY COUNTRY</a:t>
            </a:r>
          </a:p>
        </c:rich>
      </c:tx>
      <c:overlay val="0"/>
      <c:spPr>
        <a:noFill/>
        <a:ln>
          <a:noFill/>
        </a:ln>
        <a:effectLst/>
      </c:spPr>
      <c:txPr>
        <a:bodyPr rot="0" spcFirstLastPara="1" vertOverflow="ellipsis" vert="horz" wrap="square" anchor="ctr" anchorCtr="1"/>
        <a:lstStyle/>
        <a:p>
          <a:pPr>
            <a:defRPr sz="11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2225" cap="rnd">
            <a:solidFill>
              <a:schemeClr val="accent1"/>
            </a:solidFill>
            <a:round/>
          </a:ln>
          <a:effectLst/>
        </c:spPr>
        <c:marker>
          <c:symbol val="diamond"/>
          <c:size val="6"/>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2225" cap="rnd">
            <a:solidFill>
              <a:schemeClr val="accent1"/>
            </a:solidFill>
            <a:round/>
          </a:ln>
          <a:effectLst/>
        </c:spPr>
        <c:marker>
          <c:symbol val="square"/>
          <c:size val="6"/>
          <c:spPr>
            <a:solidFill>
              <a:schemeClr val="accent2"/>
            </a:solidFill>
            <a:ln w="9525">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2225" cap="rnd">
            <a:solidFill>
              <a:schemeClr val="accent1"/>
            </a:solidFill>
            <a:round/>
          </a:ln>
          <a:effectLst/>
        </c:spPr>
        <c:marker>
          <c:symbol val="triangle"/>
          <c:size val="6"/>
          <c:spPr>
            <a:solidFill>
              <a:schemeClr val="accent3"/>
            </a:solidFill>
            <a:ln w="9525">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2225" cap="rnd">
            <a:solidFill>
              <a:schemeClr val="accent1"/>
            </a:solidFill>
            <a:round/>
          </a:ln>
          <a:effectLst/>
        </c:spPr>
        <c:marker>
          <c:symbol val="x"/>
          <c:size val="6"/>
          <c:spPr>
            <a:noFill/>
            <a:ln w="9525">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2225" cap="rnd">
            <a:solidFill>
              <a:schemeClr val="accent1"/>
            </a:solidFill>
            <a:round/>
          </a:ln>
          <a:effectLst/>
        </c:spPr>
        <c:marker>
          <c:symbol val="star"/>
          <c:size val="6"/>
          <c:spPr>
            <a:noFill/>
            <a:ln w="9525">
              <a:solidFill>
                <a:schemeClr val="accent5"/>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2225" cap="rnd">
            <a:solidFill>
              <a:schemeClr val="accent1"/>
            </a:solidFill>
            <a:round/>
          </a:ln>
          <a:effectLst/>
        </c:spPr>
        <c:marker>
          <c:symbol val="circle"/>
          <c:size val="6"/>
          <c:spPr>
            <a:solidFill>
              <a:schemeClr val="accent6"/>
            </a:solidFill>
            <a:ln w="9525">
              <a:solidFill>
                <a:schemeClr val="accent6"/>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2225" cap="rnd">
            <a:solidFill>
              <a:schemeClr val="accent1"/>
            </a:solidFill>
            <a:round/>
          </a:ln>
          <a:effectLst/>
        </c:spPr>
        <c:marker>
          <c:symbol val="diamond"/>
          <c:size val="6"/>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2225" cap="rnd">
            <a:solidFill>
              <a:schemeClr val="accent1"/>
            </a:solidFill>
            <a:round/>
          </a:ln>
          <a:effectLst/>
        </c:spPr>
        <c:marker>
          <c:symbol val="square"/>
          <c:size val="6"/>
          <c:spPr>
            <a:solidFill>
              <a:schemeClr val="accent2"/>
            </a:solidFill>
            <a:ln w="9525">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2225" cap="rnd">
            <a:solidFill>
              <a:schemeClr val="accent1"/>
            </a:solidFill>
            <a:round/>
          </a:ln>
          <a:effectLst/>
        </c:spPr>
        <c:marker>
          <c:symbol val="triangle"/>
          <c:size val="6"/>
          <c:spPr>
            <a:solidFill>
              <a:schemeClr val="accent3"/>
            </a:solidFill>
            <a:ln w="9525">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2225" cap="rnd">
            <a:solidFill>
              <a:schemeClr val="accent1"/>
            </a:solidFill>
            <a:round/>
          </a:ln>
          <a:effectLst/>
        </c:spPr>
        <c:marker>
          <c:symbol val="x"/>
          <c:size val="6"/>
          <c:spPr>
            <a:noFill/>
            <a:ln w="9525">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2225" cap="rnd">
            <a:solidFill>
              <a:schemeClr val="accent1"/>
            </a:solidFill>
            <a:round/>
          </a:ln>
          <a:effectLst/>
        </c:spPr>
        <c:marker>
          <c:symbol val="star"/>
          <c:size val="6"/>
          <c:spPr>
            <a:noFill/>
            <a:ln w="9525">
              <a:solidFill>
                <a:schemeClr val="accent5"/>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2225" cap="rnd">
            <a:solidFill>
              <a:schemeClr val="accent1"/>
            </a:solidFill>
            <a:round/>
          </a:ln>
          <a:effectLst/>
        </c:spPr>
        <c:marker>
          <c:symbol val="circle"/>
          <c:size val="6"/>
          <c:spPr>
            <a:solidFill>
              <a:schemeClr val="accent6"/>
            </a:solidFill>
            <a:ln w="9525">
              <a:solidFill>
                <a:schemeClr val="accent6"/>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2225" cap="rnd">
            <a:solidFill>
              <a:schemeClr val="accent1"/>
            </a:solidFill>
            <a:round/>
          </a:ln>
          <a:effectLst/>
        </c:spPr>
        <c:marker>
          <c:symbol val="square"/>
          <c:size val="6"/>
          <c:spPr>
            <a:solidFill>
              <a:schemeClr val="accent2"/>
            </a:solidFill>
            <a:ln w="9525">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2225" cap="rnd">
            <a:solidFill>
              <a:schemeClr val="accent1"/>
            </a:solidFill>
            <a:round/>
          </a:ln>
          <a:effectLst/>
        </c:spPr>
        <c:marker>
          <c:symbol val="triangle"/>
          <c:size val="6"/>
          <c:spPr>
            <a:solidFill>
              <a:schemeClr val="accent3"/>
            </a:solidFill>
            <a:ln w="9525">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2225" cap="rnd">
            <a:solidFill>
              <a:schemeClr val="accent1"/>
            </a:solidFill>
            <a:round/>
          </a:ln>
          <a:effectLst/>
        </c:spPr>
        <c:marker>
          <c:symbol val="x"/>
          <c:size val="6"/>
          <c:spPr>
            <a:noFill/>
            <a:ln w="9525">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2225" cap="rnd">
            <a:solidFill>
              <a:schemeClr val="accent1"/>
            </a:solidFill>
            <a:round/>
          </a:ln>
          <a:effectLst/>
        </c:spPr>
        <c:marker>
          <c:symbol val="star"/>
          <c:size val="6"/>
          <c:spPr>
            <a:noFill/>
            <a:ln w="9525">
              <a:solidFill>
                <a:schemeClr val="accent5"/>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2225" cap="rnd">
            <a:solidFill>
              <a:schemeClr val="accent1"/>
            </a:solidFill>
            <a:round/>
          </a:ln>
          <a:effectLst/>
        </c:spPr>
        <c:marker>
          <c:symbol val="circle"/>
          <c:size val="6"/>
          <c:spPr>
            <a:solidFill>
              <a:schemeClr val="accent6"/>
            </a:solidFill>
            <a:ln w="9525">
              <a:solidFill>
                <a:schemeClr val="accent6"/>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2225" cap="rnd">
            <a:solidFill>
              <a:schemeClr val="accent1"/>
            </a:solidFill>
            <a:round/>
          </a:ln>
          <a:effectLst/>
        </c:spPr>
        <c:marker>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 table'!$S$4:$S$5</c:f>
              <c:strCache>
                <c:ptCount val="1"/>
                <c:pt idx="0">
                  <c:v>Australia</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cat>
            <c:strRef>
              <c:f>'Pivot table'!$R$6:$R$15</c:f>
              <c:strCache>
                <c:ptCount val="10"/>
                <c:pt idx="0">
                  <c:v>Beverie Moffet</c:v>
                </c:pt>
                <c:pt idx="1">
                  <c:v>Brien Boise</c:v>
                </c:pt>
                <c:pt idx="2">
                  <c:v>Ches Bonnell</c:v>
                </c:pt>
                <c:pt idx="3">
                  <c:v>Dennison Crosswaite</c:v>
                </c:pt>
                <c:pt idx="4">
                  <c:v>Kaine Padly</c:v>
                </c:pt>
                <c:pt idx="5">
                  <c:v>Kelci Walkden</c:v>
                </c:pt>
                <c:pt idx="6">
                  <c:v>Madelene Upcott</c:v>
                </c:pt>
                <c:pt idx="7">
                  <c:v>Marney O'Breen</c:v>
                </c:pt>
                <c:pt idx="8">
                  <c:v>Oby Sorrel</c:v>
                </c:pt>
                <c:pt idx="9">
                  <c:v>Van Tuxwell</c:v>
                </c:pt>
              </c:strCache>
            </c:strRef>
          </c:cat>
          <c:val>
            <c:numRef>
              <c:f>'Pivot table'!$S$6:$S$15</c:f>
              <c:numCache>
                <c:formatCode>General</c:formatCode>
                <c:ptCount val="10"/>
                <c:pt idx="0">
                  <c:v>27426</c:v>
                </c:pt>
                <c:pt idx="1">
                  <c:v>60417</c:v>
                </c:pt>
                <c:pt idx="2">
                  <c:v>45871</c:v>
                </c:pt>
                <c:pt idx="3">
                  <c:v>65275</c:v>
                </c:pt>
                <c:pt idx="4">
                  <c:v>58415</c:v>
                </c:pt>
                <c:pt idx="5">
                  <c:v>51961</c:v>
                </c:pt>
                <c:pt idx="6">
                  <c:v>58359</c:v>
                </c:pt>
                <c:pt idx="7">
                  <c:v>49791</c:v>
                </c:pt>
                <c:pt idx="8">
                  <c:v>37709</c:v>
                </c:pt>
                <c:pt idx="9">
                  <c:v>57050</c:v>
                </c:pt>
              </c:numCache>
            </c:numRef>
          </c:val>
          <c:smooth val="0"/>
          <c:extLst>
            <c:ext xmlns:c16="http://schemas.microsoft.com/office/drawing/2014/chart" uri="{C3380CC4-5D6E-409C-BE32-E72D297353CC}">
              <c16:uniqueId val="{00000000-14D6-49E0-8607-F2CA32D4C9EA}"/>
            </c:ext>
          </c:extLst>
        </c:ser>
        <c:ser>
          <c:idx val="1"/>
          <c:order val="1"/>
          <c:tx>
            <c:strRef>
              <c:f>'Pivot table'!$T$4:$T$5</c:f>
              <c:strCache>
                <c:ptCount val="1"/>
                <c:pt idx="0">
                  <c:v>Canada</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cat>
            <c:strRef>
              <c:f>'Pivot table'!$R$6:$R$15</c:f>
              <c:strCache>
                <c:ptCount val="10"/>
                <c:pt idx="0">
                  <c:v>Beverie Moffet</c:v>
                </c:pt>
                <c:pt idx="1">
                  <c:v>Brien Boise</c:v>
                </c:pt>
                <c:pt idx="2">
                  <c:v>Ches Bonnell</c:v>
                </c:pt>
                <c:pt idx="3">
                  <c:v>Dennison Crosswaite</c:v>
                </c:pt>
                <c:pt idx="4">
                  <c:v>Kaine Padly</c:v>
                </c:pt>
                <c:pt idx="5">
                  <c:v>Kelci Walkden</c:v>
                </c:pt>
                <c:pt idx="6">
                  <c:v>Madelene Upcott</c:v>
                </c:pt>
                <c:pt idx="7">
                  <c:v>Marney O'Breen</c:v>
                </c:pt>
                <c:pt idx="8">
                  <c:v>Oby Sorrel</c:v>
                </c:pt>
                <c:pt idx="9">
                  <c:v>Van Tuxwell</c:v>
                </c:pt>
              </c:strCache>
            </c:strRef>
          </c:cat>
          <c:val>
            <c:numRef>
              <c:f>'Pivot table'!$T$6:$T$15</c:f>
              <c:numCache>
                <c:formatCode>General</c:formatCode>
                <c:ptCount val="10"/>
                <c:pt idx="0">
                  <c:v>71995</c:v>
                </c:pt>
                <c:pt idx="1">
                  <c:v>60375</c:v>
                </c:pt>
                <c:pt idx="2">
                  <c:v>40656</c:v>
                </c:pt>
                <c:pt idx="3">
                  <c:v>38983</c:v>
                </c:pt>
                <c:pt idx="4">
                  <c:v>45934</c:v>
                </c:pt>
                <c:pt idx="5">
                  <c:v>57078</c:v>
                </c:pt>
                <c:pt idx="6">
                  <c:v>47866</c:v>
                </c:pt>
                <c:pt idx="7">
                  <c:v>19292</c:v>
                </c:pt>
                <c:pt idx="8">
                  <c:v>42364</c:v>
                </c:pt>
                <c:pt idx="9">
                  <c:v>51870</c:v>
                </c:pt>
              </c:numCache>
            </c:numRef>
          </c:val>
          <c:smooth val="0"/>
          <c:extLst>
            <c:ext xmlns:c16="http://schemas.microsoft.com/office/drawing/2014/chart" uri="{C3380CC4-5D6E-409C-BE32-E72D297353CC}">
              <c16:uniqueId val="{00000007-14D6-49E0-8607-F2CA32D4C9EA}"/>
            </c:ext>
          </c:extLst>
        </c:ser>
        <c:ser>
          <c:idx val="2"/>
          <c:order val="2"/>
          <c:tx>
            <c:strRef>
              <c:f>'Pivot table'!$U$4:$U$5</c:f>
              <c:strCache>
                <c:ptCount val="1"/>
                <c:pt idx="0">
                  <c:v>India</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cat>
            <c:strRef>
              <c:f>'Pivot table'!$R$6:$R$15</c:f>
              <c:strCache>
                <c:ptCount val="10"/>
                <c:pt idx="0">
                  <c:v>Beverie Moffet</c:v>
                </c:pt>
                <c:pt idx="1">
                  <c:v>Brien Boise</c:v>
                </c:pt>
                <c:pt idx="2">
                  <c:v>Ches Bonnell</c:v>
                </c:pt>
                <c:pt idx="3">
                  <c:v>Dennison Crosswaite</c:v>
                </c:pt>
                <c:pt idx="4">
                  <c:v>Kaine Padly</c:v>
                </c:pt>
                <c:pt idx="5">
                  <c:v>Kelci Walkden</c:v>
                </c:pt>
                <c:pt idx="6">
                  <c:v>Madelene Upcott</c:v>
                </c:pt>
                <c:pt idx="7">
                  <c:v>Marney O'Breen</c:v>
                </c:pt>
                <c:pt idx="8">
                  <c:v>Oby Sorrel</c:v>
                </c:pt>
                <c:pt idx="9">
                  <c:v>Van Tuxwell</c:v>
                </c:pt>
              </c:strCache>
            </c:strRef>
          </c:cat>
          <c:val>
            <c:numRef>
              <c:f>'Pivot table'!$U$6:$U$15</c:f>
              <c:numCache>
                <c:formatCode>General</c:formatCode>
                <c:ptCount val="10"/>
                <c:pt idx="0">
                  <c:v>41363</c:v>
                </c:pt>
                <c:pt idx="1">
                  <c:v>60578</c:v>
                </c:pt>
                <c:pt idx="2">
                  <c:v>98763</c:v>
                </c:pt>
                <c:pt idx="3">
                  <c:v>39641</c:v>
                </c:pt>
                <c:pt idx="4">
                  <c:v>20692</c:v>
                </c:pt>
                <c:pt idx="5">
                  <c:v>48160</c:v>
                </c:pt>
                <c:pt idx="6">
                  <c:v>16338</c:v>
                </c:pt>
                <c:pt idx="7">
                  <c:v>34685</c:v>
                </c:pt>
                <c:pt idx="8">
                  <c:v>75579</c:v>
                </c:pt>
                <c:pt idx="9">
                  <c:v>85785</c:v>
                </c:pt>
              </c:numCache>
            </c:numRef>
          </c:val>
          <c:smooth val="0"/>
          <c:extLst>
            <c:ext xmlns:c16="http://schemas.microsoft.com/office/drawing/2014/chart" uri="{C3380CC4-5D6E-409C-BE32-E72D297353CC}">
              <c16:uniqueId val="{00000008-14D6-49E0-8607-F2CA32D4C9EA}"/>
            </c:ext>
          </c:extLst>
        </c:ser>
        <c:ser>
          <c:idx val="3"/>
          <c:order val="3"/>
          <c:tx>
            <c:strRef>
              <c:f>'Pivot table'!$V$4:$V$5</c:f>
              <c:strCache>
                <c:ptCount val="1"/>
                <c:pt idx="0">
                  <c:v>New Zealand</c:v>
                </c:pt>
              </c:strCache>
            </c:strRef>
          </c:tx>
          <c:spPr>
            <a:ln w="22225" cap="rnd">
              <a:solidFill>
                <a:schemeClr val="accent4"/>
              </a:solidFill>
              <a:round/>
            </a:ln>
            <a:effectLst/>
          </c:spPr>
          <c:marker>
            <c:symbol val="x"/>
            <c:size val="6"/>
            <c:spPr>
              <a:noFill/>
              <a:ln w="9525">
                <a:solidFill>
                  <a:schemeClr val="accent4"/>
                </a:solidFill>
                <a:round/>
              </a:ln>
              <a:effectLst/>
            </c:spPr>
          </c:marker>
          <c:cat>
            <c:strRef>
              <c:f>'Pivot table'!$R$6:$R$15</c:f>
              <c:strCache>
                <c:ptCount val="10"/>
                <c:pt idx="0">
                  <c:v>Beverie Moffet</c:v>
                </c:pt>
                <c:pt idx="1">
                  <c:v>Brien Boise</c:v>
                </c:pt>
                <c:pt idx="2">
                  <c:v>Ches Bonnell</c:v>
                </c:pt>
                <c:pt idx="3">
                  <c:v>Dennison Crosswaite</c:v>
                </c:pt>
                <c:pt idx="4">
                  <c:v>Kaine Padly</c:v>
                </c:pt>
                <c:pt idx="5">
                  <c:v>Kelci Walkden</c:v>
                </c:pt>
                <c:pt idx="6">
                  <c:v>Madelene Upcott</c:v>
                </c:pt>
                <c:pt idx="7">
                  <c:v>Marney O'Breen</c:v>
                </c:pt>
                <c:pt idx="8">
                  <c:v>Oby Sorrel</c:v>
                </c:pt>
                <c:pt idx="9">
                  <c:v>Van Tuxwell</c:v>
                </c:pt>
              </c:strCache>
            </c:strRef>
          </c:cat>
          <c:val>
            <c:numRef>
              <c:f>'Pivot table'!$V$6:$V$15</c:f>
              <c:numCache>
                <c:formatCode>General</c:formatCode>
                <c:ptCount val="10"/>
                <c:pt idx="0">
                  <c:v>45150</c:v>
                </c:pt>
                <c:pt idx="1">
                  <c:v>41685</c:v>
                </c:pt>
                <c:pt idx="2">
                  <c:v>47600</c:v>
                </c:pt>
                <c:pt idx="3">
                  <c:v>30058</c:v>
                </c:pt>
                <c:pt idx="4">
                  <c:v>27860</c:v>
                </c:pt>
                <c:pt idx="5">
                  <c:v>39172</c:v>
                </c:pt>
                <c:pt idx="6">
                  <c:v>67550</c:v>
                </c:pt>
                <c:pt idx="7">
                  <c:v>58212</c:v>
                </c:pt>
                <c:pt idx="8">
                  <c:v>54215</c:v>
                </c:pt>
                <c:pt idx="9">
                  <c:v>30394</c:v>
                </c:pt>
              </c:numCache>
            </c:numRef>
          </c:val>
          <c:smooth val="0"/>
          <c:extLst>
            <c:ext xmlns:c16="http://schemas.microsoft.com/office/drawing/2014/chart" uri="{C3380CC4-5D6E-409C-BE32-E72D297353CC}">
              <c16:uniqueId val="{00000009-14D6-49E0-8607-F2CA32D4C9EA}"/>
            </c:ext>
          </c:extLst>
        </c:ser>
        <c:ser>
          <c:idx val="4"/>
          <c:order val="4"/>
          <c:tx>
            <c:strRef>
              <c:f>'Pivot table'!$W$4:$W$5</c:f>
              <c:strCache>
                <c:ptCount val="1"/>
                <c:pt idx="0">
                  <c:v>UK</c:v>
                </c:pt>
              </c:strCache>
            </c:strRef>
          </c:tx>
          <c:spPr>
            <a:ln w="22225" cap="rnd">
              <a:solidFill>
                <a:schemeClr val="accent5"/>
              </a:solidFill>
              <a:round/>
            </a:ln>
            <a:effectLst/>
          </c:spPr>
          <c:marker>
            <c:symbol val="star"/>
            <c:size val="6"/>
            <c:spPr>
              <a:noFill/>
              <a:ln w="9525">
                <a:solidFill>
                  <a:schemeClr val="accent5"/>
                </a:solidFill>
                <a:round/>
              </a:ln>
              <a:effectLst/>
            </c:spPr>
          </c:marker>
          <c:cat>
            <c:strRef>
              <c:f>'Pivot table'!$R$6:$R$15</c:f>
              <c:strCache>
                <c:ptCount val="10"/>
                <c:pt idx="0">
                  <c:v>Beverie Moffet</c:v>
                </c:pt>
                <c:pt idx="1">
                  <c:v>Brien Boise</c:v>
                </c:pt>
                <c:pt idx="2">
                  <c:v>Ches Bonnell</c:v>
                </c:pt>
                <c:pt idx="3">
                  <c:v>Dennison Crosswaite</c:v>
                </c:pt>
                <c:pt idx="4">
                  <c:v>Kaine Padly</c:v>
                </c:pt>
                <c:pt idx="5">
                  <c:v>Kelci Walkden</c:v>
                </c:pt>
                <c:pt idx="6">
                  <c:v>Madelene Upcott</c:v>
                </c:pt>
                <c:pt idx="7">
                  <c:v>Marney O'Breen</c:v>
                </c:pt>
                <c:pt idx="8">
                  <c:v>Oby Sorrel</c:v>
                </c:pt>
                <c:pt idx="9">
                  <c:v>Van Tuxwell</c:v>
                </c:pt>
              </c:strCache>
            </c:strRef>
          </c:cat>
          <c:val>
            <c:numRef>
              <c:f>'Pivot table'!$W$6:$W$15</c:f>
              <c:numCache>
                <c:formatCode>General</c:formatCode>
                <c:ptCount val="10"/>
                <c:pt idx="0">
                  <c:v>39522</c:v>
                </c:pt>
                <c:pt idx="1">
                  <c:v>31591</c:v>
                </c:pt>
                <c:pt idx="2">
                  <c:v>51772</c:v>
                </c:pt>
                <c:pt idx="3">
                  <c:v>48167</c:v>
                </c:pt>
                <c:pt idx="4">
                  <c:v>69034</c:v>
                </c:pt>
                <c:pt idx="5">
                  <c:v>45983</c:v>
                </c:pt>
                <c:pt idx="6">
                  <c:v>71330</c:v>
                </c:pt>
                <c:pt idx="7">
                  <c:v>57169</c:v>
                </c:pt>
                <c:pt idx="8">
                  <c:v>69279</c:v>
                </c:pt>
                <c:pt idx="9">
                  <c:v>45514</c:v>
                </c:pt>
              </c:numCache>
            </c:numRef>
          </c:val>
          <c:smooth val="0"/>
          <c:extLst>
            <c:ext xmlns:c16="http://schemas.microsoft.com/office/drawing/2014/chart" uri="{C3380CC4-5D6E-409C-BE32-E72D297353CC}">
              <c16:uniqueId val="{0000000A-14D6-49E0-8607-F2CA32D4C9EA}"/>
            </c:ext>
          </c:extLst>
        </c:ser>
        <c:ser>
          <c:idx val="5"/>
          <c:order val="5"/>
          <c:tx>
            <c:strRef>
              <c:f>'Pivot table'!$X$4:$X$5</c:f>
              <c:strCache>
                <c:ptCount val="1"/>
                <c:pt idx="0">
                  <c:v>USA</c:v>
                </c:pt>
              </c:strCache>
            </c:strRef>
          </c:tx>
          <c:spPr>
            <a:ln w="22225" cap="rnd">
              <a:solidFill>
                <a:schemeClr val="accent6"/>
              </a:solidFill>
              <a:round/>
            </a:ln>
            <a:effectLst/>
          </c:spPr>
          <c:marker>
            <c:symbol val="circle"/>
            <c:size val="6"/>
            <c:spPr>
              <a:solidFill>
                <a:schemeClr val="accent6"/>
              </a:solidFill>
              <a:ln w="9525">
                <a:solidFill>
                  <a:schemeClr val="accent6"/>
                </a:solidFill>
                <a:round/>
              </a:ln>
              <a:effectLst/>
            </c:spPr>
          </c:marker>
          <c:cat>
            <c:strRef>
              <c:f>'Pivot table'!$R$6:$R$15</c:f>
              <c:strCache>
                <c:ptCount val="10"/>
                <c:pt idx="0">
                  <c:v>Beverie Moffet</c:v>
                </c:pt>
                <c:pt idx="1">
                  <c:v>Brien Boise</c:v>
                </c:pt>
                <c:pt idx="2">
                  <c:v>Ches Bonnell</c:v>
                </c:pt>
                <c:pt idx="3">
                  <c:v>Dennison Crosswaite</c:v>
                </c:pt>
                <c:pt idx="4">
                  <c:v>Kaine Padly</c:v>
                </c:pt>
                <c:pt idx="5">
                  <c:v>Kelci Walkden</c:v>
                </c:pt>
                <c:pt idx="6">
                  <c:v>Madelene Upcott</c:v>
                </c:pt>
                <c:pt idx="7">
                  <c:v>Marney O'Breen</c:v>
                </c:pt>
                <c:pt idx="8">
                  <c:v>Oby Sorrel</c:v>
                </c:pt>
                <c:pt idx="9">
                  <c:v>Van Tuxwell</c:v>
                </c:pt>
              </c:strCache>
            </c:strRef>
          </c:cat>
          <c:val>
            <c:numRef>
              <c:f>'Pivot table'!$X$6:$X$15</c:f>
              <c:numCache>
                <c:formatCode>General</c:formatCode>
                <c:ptCount val="10"/>
                <c:pt idx="0">
                  <c:v>53466</c:v>
                </c:pt>
                <c:pt idx="1">
                  <c:v>58170</c:v>
                </c:pt>
                <c:pt idx="2">
                  <c:v>36239</c:v>
                </c:pt>
                <c:pt idx="3">
                  <c:v>69545</c:v>
                </c:pt>
                <c:pt idx="4">
                  <c:v>44555</c:v>
                </c:pt>
                <c:pt idx="5">
                  <c:v>69356</c:v>
                </c:pt>
                <c:pt idx="6">
                  <c:v>54656</c:v>
                </c:pt>
                <c:pt idx="7">
                  <c:v>40593</c:v>
                </c:pt>
                <c:pt idx="8">
                  <c:v>37499</c:v>
                </c:pt>
                <c:pt idx="9">
                  <c:v>32536</c:v>
                </c:pt>
              </c:numCache>
            </c:numRef>
          </c:val>
          <c:smooth val="0"/>
          <c:extLst>
            <c:ext xmlns:c16="http://schemas.microsoft.com/office/drawing/2014/chart" uri="{C3380CC4-5D6E-409C-BE32-E72D297353CC}">
              <c16:uniqueId val="{0000000B-14D6-49E0-8607-F2CA32D4C9EA}"/>
            </c:ext>
          </c:extLst>
        </c:ser>
        <c:dLbls>
          <c:showLegendKey val="0"/>
          <c:showVal val="0"/>
          <c:showCatName val="0"/>
          <c:showSerName val="0"/>
          <c:showPercent val="0"/>
          <c:showBubbleSize val="0"/>
        </c:dLbls>
        <c:marker val="1"/>
        <c:smooth val="0"/>
        <c:axId val="1221265984"/>
        <c:axId val="1221260704"/>
      </c:lineChart>
      <c:catAx>
        <c:axId val="12212659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cap="all" spc="120" normalizeH="0" baseline="0">
                <a:solidFill>
                  <a:schemeClr val="tx1">
                    <a:lumMod val="65000"/>
                    <a:lumOff val="35000"/>
                  </a:schemeClr>
                </a:solidFill>
                <a:latin typeface="+mn-lt"/>
                <a:ea typeface="+mn-ea"/>
                <a:cs typeface="+mn-cs"/>
              </a:defRPr>
            </a:pPr>
            <a:endParaRPr lang="en-US"/>
          </a:p>
        </c:txPr>
        <c:crossAx val="1221260704"/>
        <c:crosses val="autoZero"/>
        <c:auto val="1"/>
        <c:lblAlgn val="ctr"/>
        <c:lblOffset val="100"/>
        <c:noMultiLvlLbl val="0"/>
      </c:catAx>
      <c:valAx>
        <c:axId val="1221260704"/>
        <c:scaling>
          <c:orientation val="minMax"/>
        </c:scaling>
        <c:delete val="0"/>
        <c:axPos val="l"/>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221265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75000"/>
                  <a:lumOff val="2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size">
        <cx:f>_xlchart.v1.3</cx:f>
      </cx:numDim>
    </cx:data>
  </cx:chartData>
  <cx:chart>
    <cx:title pos="t" align="ctr" overlay="0">
      <cx:tx>
        <cx:txData>
          <cx:v>Boxes Shipped By Month</cx:v>
        </cx:txData>
      </cx:tx>
      <cx:txPr>
        <a:bodyPr spcFirstLastPara="1" vertOverflow="ellipsis" horzOverflow="overflow" wrap="square" lIns="0" tIns="0" rIns="0" bIns="0" anchor="ctr" anchorCtr="1"/>
        <a:lstStyle/>
        <a:p>
          <a:pPr algn="ctr" rtl="0">
            <a:defRPr/>
          </a:pPr>
          <a:r>
            <a:rPr lang="en-US" sz="1600" b="1" i="0" u="none" strike="noStrike" spc="100" baseline="0">
              <a:solidFill>
                <a:srgbClr val="FF0000"/>
              </a:solidFill>
              <a:effectLst>
                <a:outerShdw blurRad="50800" dist="38100" dir="5400000" algn="t" rotWithShape="0">
                  <a:prstClr val="black">
                    <a:alpha val="40000"/>
                  </a:prstClr>
                </a:outerShdw>
              </a:effectLst>
              <a:latin typeface="Aptos Narrow" panose="02110004020202020204"/>
            </a:rPr>
            <a:t>Boxes Shipped By Month</a:t>
          </a:r>
        </a:p>
      </cx:txPr>
    </cx:title>
    <cx:plotArea>
      <cx:plotAreaRegion>
        <cx:series layoutId="treemap" uniqueId="{B094450B-2FCA-48D0-8E92-A673DE759BC7}">
          <cx:dataLabels pos="inEnd">
            <cx:txPr>
              <a:bodyPr spcFirstLastPara="1" vertOverflow="ellipsis" horzOverflow="overflow" wrap="square" lIns="0" tIns="0" rIns="0" bIns="0" anchor="ctr" anchorCtr="1"/>
              <a:lstStyle/>
              <a:p>
                <a:pPr algn="ctr" rtl="0">
                  <a:defRPr sz="1000" b="1" i="0" baseline="0">
                    <a:solidFill>
                      <a:schemeClr val="bg1">
                        <a:lumMod val="95000"/>
                      </a:schemeClr>
                    </a:solidFill>
                    <a:cs typeface="Times New Roman" panose="02020603050405020304" pitchFamily="18" charset="0"/>
                  </a:defRPr>
                </a:pPr>
                <a:endParaRPr lang="en-US" sz="1000" b="1" i="0" u="none" strike="noStrike" baseline="0">
                  <a:solidFill>
                    <a:schemeClr val="bg1">
                      <a:lumMod val="95000"/>
                    </a:schemeClr>
                  </a:solidFill>
                  <a:latin typeface="Aptos Narrow" panose="02110004020202020204"/>
                  <a:cs typeface="Times New Roman" panose="02020603050405020304" pitchFamily="18" charset="0"/>
                </a:endParaRPr>
              </a:p>
            </cx:txPr>
            <cx:visibility seriesName="0" categoryName="1" value="1"/>
            <cx:separator>
</cx:separator>
          </cx:dataLabels>
          <cx:dataId val="0"/>
          <cx:layoutPr>
            <cx:parentLabelLayout val="overlapping"/>
          </cx:layoutPr>
        </cx:series>
      </cx:plotAreaRegion>
    </cx:plotArea>
    <cx:legend pos="b" align="ctr" overlay="0">
      <cx:txPr>
        <a:bodyPr spcFirstLastPara="1" vertOverflow="ellipsis" horzOverflow="overflow" wrap="square" lIns="0" tIns="0" rIns="0" bIns="0" anchor="ctr" anchorCtr="1"/>
        <a:lstStyle/>
        <a:p>
          <a:pPr algn="ctr" rtl="0">
            <a:defRPr b="1" i="0" baseline="0">
              <a:solidFill>
                <a:schemeClr val="tx1">
                  <a:lumMod val="75000"/>
                  <a:lumOff val="25000"/>
                </a:schemeClr>
              </a:solidFill>
            </a:defRPr>
          </a:pPr>
          <a:endParaRPr lang="en-US" sz="900" b="1" i="0" u="none" strike="noStrike" baseline="0">
            <a:solidFill>
              <a:schemeClr val="tx1">
                <a:lumMod val="75000"/>
                <a:lumOff val="25000"/>
              </a:schemeClr>
            </a:solidFill>
            <a:latin typeface="Aptos Narrow" panose="02110004020202020204"/>
          </a:endParaRPr>
        </a:p>
      </cx:txPr>
    </cx:legend>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2">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alpha val="54000"/>
          </a:schemeClr>
        </a:solidFill>
        <a:round/>
      </a:ln>
    </cs:spPr>
  </cs:gridlineMajor>
  <cs:gridlineMinor>
    <cs:lnRef idx="0"/>
    <cs:fillRef idx="0"/>
    <cs:effectRef idx="0"/>
    <cs:fontRef idx="minor">
      <a:schemeClr val="dk1"/>
    </cs:fontRef>
    <cs:spPr>
      <a:ln w="9525" cap="flat" cmpd="sng" algn="ctr">
        <a:solidFill>
          <a:schemeClr val="dk1">
            <a:lumMod val="15000"/>
            <a:lumOff val="85000"/>
            <a:alpha val="51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15">
  <cs:axisTitle>
    <cs:lnRef idx="0"/>
    <cs:fillRef idx="0"/>
    <cs:effectRef idx="0"/>
    <cs:fontRef idx="minor">
      <a:schemeClr val="lt1">
        <a:lumMod val="95000"/>
      </a:schemeClr>
    </cs:fontRef>
    <cs:spPr>
      <a:solidFill>
        <a:schemeClr val="bg1">
          <a:lumMod val="65000"/>
        </a:schemeClr>
      </a:solidFill>
      <a:ln>
        <a:solidFill>
          <a:schemeClr val="tx1"/>
        </a:solidFill>
      </a:ln>
    </cs:spPr>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cs:chartArea>
  <cs:dataLabel>
    <cs:lnRef idx="0"/>
    <cs:fillRef idx="0"/>
    <cs:effectRef idx="0"/>
    <cs:fontRef idx="minor">
      <a:schemeClr val="lt1">
        <a:lumMod val="9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ln>
        <a:solidFill>
          <a:schemeClr val="tx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600" b="1" spc="10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7" Type="http://schemas.openxmlformats.org/officeDocument/2006/relationships/chart" Target="../charts/chart5.xml"/><Relationship Id="rId2" Type="http://schemas.openxmlformats.org/officeDocument/2006/relationships/chart" Target="../charts/chart1.xml"/><Relationship Id="rId1" Type="http://schemas.openxmlformats.org/officeDocument/2006/relationships/image" Target="../media/image1.png"/><Relationship Id="rId6" Type="http://schemas.openxmlformats.org/officeDocument/2006/relationships/chart" Target="../charts/chart4.xml"/><Relationship Id="rId5" Type="http://schemas.microsoft.com/office/2014/relationships/chartEx" Target="../charts/chartEx1.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104775</xdr:colOff>
      <xdr:row>0</xdr:row>
      <xdr:rowOff>57150</xdr:rowOff>
    </xdr:from>
    <xdr:to>
      <xdr:col>15</xdr:col>
      <xdr:colOff>133350</xdr:colOff>
      <xdr:row>5</xdr:row>
      <xdr:rowOff>47625</xdr:rowOff>
    </xdr:to>
    <xdr:sp macro="" textlink="">
      <xdr:nvSpPr>
        <xdr:cNvPr id="2" name="Rectangle: Rounded Corners 1">
          <a:extLst>
            <a:ext uri="{FF2B5EF4-FFF2-40B4-BE49-F238E27FC236}">
              <a16:creationId xmlns:a16="http://schemas.microsoft.com/office/drawing/2014/main" id="{63EA4775-BEDD-8EB8-03DE-5CF94A55C521}"/>
            </a:ext>
          </a:extLst>
        </xdr:cNvPr>
        <xdr:cNvSpPr/>
      </xdr:nvSpPr>
      <xdr:spPr>
        <a:xfrm>
          <a:off x="104775" y="57150"/>
          <a:ext cx="9172575" cy="942975"/>
        </a:xfrm>
        <a:prstGeom prst="roundRect">
          <a:avLst>
            <a:gd name="adj" fmla="val 7577"/>
          </a:avLst>
        </a:prstGeom>
        <a:solidFill>
          <a:schemeClr val="bg1"/>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1</xdr:col>
      <xdr:colOff>199251</xdr:colOff>
      <xdr:row>0</xdr:row>
      <xdr:rowOff>140753</xdr:rowOff>
    </xdr:from>
    <xdr:ext cx="8440709" cy="781111"/>
    <xdr:sp macro="" textlink="">
      <xdr:nvSpPr>
        <xdr:cNvPr id="3" name="Rectangle 2">
          <a:extLst>
            <a:ext uri="{FF2B5EF4-FFF2-40B4-BE49-F238E27FC236}">
              <a16:creationId xmlns:a16="http://schemas.microsoft.com/office/drawing/2014/main" id="{7DDA9B49-842B-34A2-D19E-E55B9360709D}"/>
            </a:ext>
          </a:extLst>
        </xdr:cNvPr>
        <xdr:cNvSpPr/>
      </xdr:nvSpPr>
      <xdr:spPr>
        <a:xfrm>
          <a:off x="808851" y="140753"/>
          <a:ext cx="8440709" cy="781111"/>
        </a:xfrm>
        <a:prstGeom prst="rect">
          <a:avLst/>
        </a:prstGeom>
        <a:noFill/>
      </xdr:spPr>
      <xdr:txBody>
        <a:bodyPr wrap="none" lIns="91440" tIns="45720" rIns="91440" bIns="45720">
          <a:spAutoFit/>
        </a:bodyPr>
        <a:lstStyle/>
        <a:p>
          <a:pPr algn="ctr"/>
          <a:r>
            <a:rPr lang="en-US" sz="4400" b="1" cap="none" spc="0">
              <a:ln w="0"/>
              <a:solidFill>
                <a:srgbClr val="FF0000"/>
              </a:solidFill>
              <a:effectLst>
                <a:outerShdw blurRad="38100" dist="19050" dir="2700000" algn="tl" rotWithShape="0">
                  <a:schemeClr val="dk1">
                    <a:alpha val="40000"/>
                  </a:schemeClr>
                </a:outerShdw>
              </a:effectLst>
              <a:latin typeface="+mn-lt"/>
              <a:cs typeface="Arial" panose="020B0604020202020204" pitchFamily="34" charset="0"/>
            </a:rPr>
            <a:t>CHOCOLATE</a:t>
          </a:r>
          <a:r>
            <a:rPr lang="en-US" sz="4400" b="1" cap="none" spc="0">
              <a:ln w="0"/>
              <a:solidFill>
                <a:schemeClr val="tx1"/>
              </a:solidFill>
              <a:effectLst>
                <a:outerShdw blurRad="38100" dist="19050" dir="2700000" algn="tl" rotWithShape="0">
                  <a:schemeClr val="dk1">
                    <a:alpha val="40000"/>
                  </a:schemeClr>
                </a:outerShdw>
              </a:effectLst>
              <a:latin typeface="+mn-lt"/>
              <a:cs typeface="Arial" panose="020B0604020202020204" pitchFamily="34" charset="0"/>
            </a:rPr>
            <a:t> </a:t>
          </a:r>
          <a:r>
            <a:rPr lang="en-US" sz="4400" b="1" cap="none" spc="0">
              <a:ln w="0"/>
              <a:solidFill>
                <a:srgbClr val="FF0000"/>
              </a:solidFill>
              <a:effectLst>
                <a:outerShdw blurRad="38100" dist="19050" dir="2700000" algn="tl" rotWithShape="0">
                  <a:schemeClr val="dk1">
                    <a:alpha val="40000"/>
                  </a:schemeClr>
                </a:outerShdw>
              </a:effectLst>
              <a:latin typeface="+mn-lt"/>
              <a:cs typeface="Arial" panose="020B0604020202020204" pitchFamily="34" charset="0"/>
            </a:rPr>
            <a:t>SALES DATA ANALYSIS</a:t>
          </a:r>
        </a:p>
      </xdr:txBody>
    </xdr:sp>
    <xdr:clientData/>
  </xdr:oneCellAnchor>
  <xdr:twoCellAnchor editAs="oneCell">
    <xdr:from>
      <xdr:col>0</xdr:col>
      <xdr:colOff>257175</xdr:colOff>
      <xdr:row>1</xdr:row>
      <xdr:rowOff>38100</xdr:rowOff>
    </xdr:from>
    <xdr:to>
      <xdr:col>1</xdr:col>
      <xdr:colOff>247650</xdr:colOff>
      <xdr:row>4</xdr:row>
      <xdr:rowOff>66675</xdr:rowOff>
    </xdr:to>
    <xdr:pic>
      <xdr:nvPicPr>
        <xdr:cNvPr id="5" name="Picture 4">
          <a:extLst>
            <a:ext uri="{FF2B5EF4-FFF2-40B4-BE49-F238E27FC236}">
              <a16:creationId xmlns:a16="http://schemas.microsoft.com/office/drawing/2014/main" id="{756A9430-D377-403D-1F48-F9D6D6FA519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57175" y="228600"/>
          <a:ext cx="600075" cy="600075"/>
        </a:xfrm>
        <a:prstGeom prst="rect">
          <a:avLst/>
        </a:prstGeom>
      </xdr:spPr>
    </xdr:pic>
    <xdr:clientData/>
  </xdr:twoCellAnchor>
  <xdr:twoCellAnchor>
    <xdr:from>
      <xdr:col>15</xdr:col>
      <xdr:colOff>342901</xdr:colOff>
      <xdr:row>0</xdr:row>
      <xdr:rowOff>57150</xdr:rowOff>
    </xdr:from>
    <xdr:to>
      <xdr:col>20</xdr:col>
      <xdr:colOff>174901</xdr:colOff>
      <xdr:row>5</xdr:row>
      <xdr:rowOff>47625</xdr:rowOff>
    </xdr:to>
    <xdr:sp macro="" textlink="">
      <xdr:nvSpPr>
        <xdr:cNvPr id="7" name="Rectangle: Rounded Corners 6">
          <a:extLst>
            <a:ext uri="{FF2B5EF4-FFF2-40B4-BE49-F238E27FC236}">
              <a16:creationId xmlns:a16="http://schemas.microsoft.com/office/drawing/2014/main" id="{2D0AED75-AAE0-474B-A189-C34C1138426F}"/>
            </a:ext>
          </a:extLst>
        </xdr:cNvPr>
        <xdr:cNvSpPr/>
      </xdr:nvSpPr>
      <xdr:spPr>
        <a:xfrm>
          <a:off x="9486901" y="57150"/>
          <a:ext cx="2880000" cy="942975"/>
        </a:xfrm>
        <a:prstGeom prst="roundRect">
          <a:avLst>
            <a:gd name="adj" fmla="val 7577"/>
          </a:avLst>
        </a:prstGeom>
        <a:solidFill>
          <a:schemeClr val="bg1"/>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20</xdr:col>
      <xdr:colOff>371475</xdr:colOff>
      <xdr:row>0</xdr:row>
      <xdr:rowOff>47625</xdr:rowOff>
    </xdr:from>
    <xdr:to>
      <xdr:col>25</xdr:col>
      <xdr:colOff>203475</xdr:colOff>
      <xdr:row>5</xdr:row>
      <xdr:rowOff>38100</xdr:rowOff>
    </xdr:to>
    <xdr:sp macro="" textlink="">
      <xdr:nvSpPr>
        <xdr:cNvPr id="9" name="Rectangle: Rounded Corners 8">
          <a:extLst>
            <a:ext uri="{FF2B5EF4-FFF2-40B4-BE49-F238E27FC236}">
              <a16:creationId xmlns:a16="http://schemas.microsoft.com/office/drawing/2014/main" id="{1F04FF9B-FC14-4B70-9F82-3A1108DE09D3}"/>
            </a:ext>
          </a:extLst>
        </xdr:cNvPr>
        <xdr:cNvSpPr/>
      </xdr:nvSpPr>
      <xdr:spPr>
        <a:xfrm>
          <a:off x="12563475" y="47625"/>
          <a:ext cx="2880000" cy="942975"/>
        </a:xfrm>
        <a:prstGeom prst="roundRect">
          <a:avLst>
            <a:gd name="adj" fmla="val 7577"/>
          </a:avLst>
        </a:prstGeom>
        <a:solidFill>
          <a:schemeClr val="bg1"/>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16</xdr:col>
      <xdr:colOff>333377</xdr:colOff>
      <xdr:row>0</xdr:row>
      <xdr:rowOff>57150</xdr:rowOff>
    </xdr:from>
    <xdr:ext cx="1666873" cy="405432"/>
    <xdr:sp macro="" textlink="">
      <xdr:nvSpPr>
        <xdr:cNvPr id="13" name="Rectangle 12">
          <a:extLst>
            <a:ext uri="{FF2B5EF4-FFF2-40B4-BE49-F238E27FC236}">
              <a16:creationId xmlns:a16="http://schemas.microsoft.com/office/drawing/2014/main" id="{E181FDF7-E35E-46D6-949C-31A078D6621F}"/>
            </a:ext>
          </a:extLst>
        </xdr:cNvPr>
        <xdr:cNvSpPr/>
      </xdr:nvSpPr>
      <xdr:spPr>
        <a:xfrm>
          <a:off x="10086977" y="57150"/>
          <a:ext cx="1666873" cy="405432"/>
        </a:xfrm>
        <a:prstGeom prst="rect">
          <a:avLst/>
        </a:prstGeom>
        <a:noFill/>
      </xdr:spPr>
      <xdr:txBody>
        <a:bodyPr wrap="square" lIns="91440" tIns="45720" rIns="91440" bIns="45720">
          <a:spAutoFit/>
        </a:bodyPr>
        <a:lstStyle/>
        <a:p>
          <a:pPr algn="ctr"/>
          <a:r>
            <a:rPr lang="en-US" sz="2000" b="1" cap="none" spc="0">
              <a:ln w="0"/>
              <a:solidFill>
                <a:srgbClr val="FF0000"/>
              </a:solidFill>
              <a:effectLst>
                <a:outerShdw blurRad="38100" dist="19050" dir="2700000" algn="tl" rotWithShape="0">
                  <a:schemeClr val="dk1">
                    <a:alpha val="40000"/>
                  </a:schemeClr>
                </a:outerShdw>
              </a:effectLst>
              <a:latin typeface="+mn-lt"/>
              <a:cs typeface="Arial" panose="020B0604020202020204" pitchFamily="34" charset="0"/>
            </a:rPr>
            <a:t>TOTAL</a:t>
          </a:r>
          <a:r>
            <a:rPr lang="en-US" sz="2000" b="1" cap="none" spc="0" baseline="0">
              <a:ln w="0"/>
              <a:solidFill>
                <a:srgbClr val="FF0000"/>
              </a:solidFill>
              <a:effectLst>
                <a:outerShdw blurRad="38100" dist="19050" dir="2700000" algn="tl" rotWithShape="0">
                  <a:schemeClr val="dk1">
                    <a:alpha val="40000"/>
                  </a:schemeClr>
                </a:outerShdw>
              </a:effectLst>
              <a:latin typeface="+mn-lt"/>
              <a:cs typeface="Arial" panose="020B0604020202020204" pitchFamily="34" charset="0"/>
            </a:rPr>
            <a:t> BOXES</a:t>
          </a:r>
          <a:endParaRPr lang="en-US" sz="2000" b="1" cap="none" spc="0">
            <a:ln w="0"/>
            <a:solidFill>
              <a:srgbClr val="FF0000"/>
            </a:solidFill>
            <a:effectLst>
              <a:outerShdw blurRad="38100" dist="19050" dir="2700000" algn="tl" rotWithShape="0">
                <a:schemeClr val="dk1">
                  <a:alpha val="40000"/>
                </a:schemeClr>
              </a:outerShdw>
            </a:effectLst>
            <a:latin typeface="+mn-lt"/>
            <a:cs typeface="Arial" panose="020B0604020202020204" pitchFamily="34" charset="0"/>
          </a:endParaRPr>
        </a:p>
      </xdr:txBody>
    </xdr:sp>
    <xdr:clientData/>
  </xdr:oneCellAnchor>
  <xdr:oneCellAnchor>
    <xdr:from>
      <xdr:col>21</xdr:col>
      <xdr:colOff>296848</xdr:colOff>
      <xdr:row>0</xdr:row>
      <xdr:rowOff>57151</xdr:rowOff>
    </xdr:from>
    <xdr:ext cx="1884362" cy="381000"/>
    <xdr:sp macro="" textlink="">
      <xdr:nvSpPr>
        <xdr:cNvPr id="14" name="Rectangle 13">
          <a:extLst>
            <a:ext uri="{FF2B5EF4-FFF2-40B4-BE49-F238E27FC236}">
              <a16:creationId xmlns:a16="http://schemas.microsoft.com/office/drawing/2014/main" id="{617B28D5-4B46-4FCB-8F64-9063B40FCB63}"/>
            </a:ext>
          </a:extLst>
        </xdr:cNvPr>
        <xdr:cNvSpPr/>
      </xdr:nvSpPr>
      <xdr:spPr>
        <a:xfrm>
          <a:off x="13098448" y="57151"/>
          <a:ext cx="1884362" cy="381000"/>
        </a:xfrm>
        <a:prstGeom prst="rect">
          <a:avLst/>
        </a:prstGeom>
        <a:noFill/>
      </xdr:spPr>
      <xdr:txBody>
        <a:bodyPr wrap="none" lIns="91440" tIns="45720" rIns="91440" bIns="45720">
          <a:noAutofit/>
        </a:bodyPr>
        <a:lstStyle/>
        <a:p>
          <a:pPr algn="ctr"/>
          <a:r>
            <a:rPr lang="en-US" sz="2000" b="1" cap="none" spc="0">
              <a:ln w="0"/>
              <a:solidFill>
                <a:srgbClr val="FF0000"/>
              </a:solidFill>
              <a:effectLst>
                <a:outerShdw blurRad="38100" dist="19050" dir="2700000" algn="tl" rotWithShape="0">
                  <a:schemeClr val="dk1">
                    <a:alpha val="40000"/>
                  </a:schemeClr>
                </a:outerShdw>
              </a:effectLst>
              <a:latin typeface="+mn-lt"/>
              <a:cs typeface="Arial" panose="020B0604020202020204" pitchFamily="34" charset="0"/>
            </a:rPr>
            <a:t>TOTAL</a:t>
          </a:r>
          <a:r>
            <a:rPr lang="en-US" sz="2000" b="1" cap="none" spc="0" baseline="0">
              <a:ln w="0"/>
              <a:solidFill>
                <a:srgbClr val="FF0000"/>
              </a:solidFill>
              <a:effectLst>
                <a:outerShdw blurRad="38100" dist="19050" dir="2700000" algn="tl" rotWithShape="0">
                  <a:schemeClr val="dk1">
                    <a:alpha val="40000"/>
                  </a:schemeClr>
                </a:outerShdw>
              </a:effectLst>
              <a:latin typeface="+mn-lt"/>
              <a:cs typeface="Arial" panose="020B0604020202020204" pitchFamily="34" charset="0"/>
            </a:rPr>
            <a:t>  AMOUNT</a:t>
          </a:r>
          <a:endParaRPr lang="en-US" sz="2000" b="1" cap="none" spc="0">
            <a:ln w="0"/>
            <a:solidFill>
              <a:srgbClr val="FF0000"/>
            </a:solidFill>
            <a:effectLst>
              <a:outerShdw blurRad="38100" dist="19050" dir="2700000" algn="tl" rotWithShape="0">
                <a:schemeClr val="dk1">
                  <a:alpha val="40000"/>
                </a:schemeClr>
              </a:outerShdw>
            </a:effectLst>
            <a:latin typeface="+mn-lt"/>
            <a:cs typeface="Arial" panose="020B0604020202020204" pitchFamily="34" charset="0"/>
          </a:endParaRPr>
        </a:p>
      </xdr:txBody>
    </xdr:sp>
    <xdr:clientData/>
  </xdr:oneCellAnchor>
  <xdr:oneCellAnchor>
    <xdr:from>
      <xdr:col>16</xdr:col>
      <xdr:colOff>175109</xdr:colOff>
      <xdr:row>2</xdr:row>
      <xdr:rowOff>38100</xdr:rowOff>
    </xdr:from>
    <xdr:ext cx="1920391" cy="387286"/>
    <xdr:sp macro="" textlink="'Pivot table'!$Z$5">
      <xdr:nvSpPr>
        <xdr:cNvPr id="16" name="Rectangle 15">
          <a:extLst>
            <a:ext uri="{FF2B5EF4-FFF2-40B4-BE49-F238E27FC236}">
              <a16:creationId xmlns:a16="http://schemas.microsoft.com/office/drawing/2014/main" id="{023CB633-048F-4166-8875-8F49E03490C6}"/>
            </a:ext>
          </a:extLst>
        </xdr:cNvPr>
        <xdr:cNvSpPr/>
      </xdr:nvSpPr>
      <xdr:spPr>
        <a:xfrm>
          <a:off x="9928709" y="419100"/>
          <a:ext cx="1920391" cy="387286"/>
        </a:xfrm>
        <a:prstGeom prst="rect">
          <a:avLst/>
        </a:prstGeom>
        <a:noFill/>
      </xdr:spPr>
      <xdr:txBody>
        <a:bodyPr wrap="square" lIns="91440" tIns="45720" rIns="91440" bIns="45720">
          <a:spAutoFit/>
        </a:bodyPr>
        <a:lstStyle/>
        <a:p>
          <a:pPr algn="ctr"/>
          <a:fld id="{F322AEC0-A0FD-48BE-96A3-7AF8A4DFF659}" type="TxLink">
            <a:rPr lang="en-US" sz="2000" b="1" i="0" u="none" strike="noStrike" cap="none" spc="0">
              <a:ln w="0"/>
              <a:solidFill>
                <a:schemeClr val="tx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$61,83,625.00 </a:t>
          </a:fld>
          <a:endParaRPr lang="en-US" sz="2000" b="1" cap="none" spc="0">
            <a:ln w="0"/>
            <a:solidFill>
              <a:schemeClr val="tx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endParaRPr>
        </a:p>
      </xdr:txBody>
    </xdr:sp>
    <xdr:clientData/>
  </xdr:oneCellAnchor>
  <xdr:oneCellAnchor>
    <xdr:from>
      <xdr:col>21</xdr:col>
      <xdr:colOff>295275</xdr:colOff>
      <xdr:row>2</xdr:row>
      <xdr:rowOff>28575</xdr:rowOff>
    </xdr:from>
    <xdr:ext cx="1800225" cy="387286"/>
    <xdr:sp macro="" textlink="'Pivot table'!$AA$5">
      <xdr:nvSpPr>
        <xdr:cNvPr id="17" name="Rectangle 16">
          <a:extLst>
            <a:ext uri="{FF2B5EF4-FFF2-40B4-BE49-F238E27FC236}">
              <a16:creationId xmlns:a16="http://schemas.microsoft.com/office/drawing/2014/main" id="{66224DBF-1968-49B4-82BE-C2DDE694FBA5}"/>
            </a:ext>
          </a:extLst>
        </xdr:cNvPr>
        <xdr:cNvSpPr/>
      </xdr:nvSpPr>
      <xdr:spPr>
        <a:xfrm>
          <a:off x="13096875" y="409575"/>
          <a:ext cx="1800225" cy="387286"/>
        </a:xfrm>
        <a:prstGeom prst="rect">
          <a:avLst/>
        </a:prstGeom>
        <a:noFill/>
      </xdr:spPr>
      <xdr:txBody>
        <a:bodyPr wrap="square" lIns="91440" tIns="45720" rIns="91440" bIns="45720">
          <a:spAutoFit/>
        </a:bodyPr>
        <a:lstStyle/>
        <a:p>
          <a:pPr algn="ctr"/>
          <a:fld id="{1763EB5B-9A96-40C6-8056-0E620E1E1650}" type="TxLink">
            <a:rPr lang="en-US" sz="2000" b="1" i="0" u="none" strike="noStrike" cap="none" spc="0">
              <a:ln w="0"/>
              <a:solidFill>
                <a:srgbClr val="000000"/>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$1,77,007.00 </a:t>
          </a:fld>
          <a:endParaRPr lang="en-US" sz="2000" b="1" cap="none" spc="0">
            <a:ln w="0"/>
            <a:solidFill>
              <a:schemeClr val="tx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endParaRPr>
        </a:p>
      </xdr:txBody>
    </xdr:sp>
    <xdr:clientData/>
  </xdr:oneCellAnchor>
  <xdr:twoCellAnchor editAs="oneCell">
    <xdr:from>
      <xdr:col>11</xdr:col>
      <xdr:colOff>447675</xdr:colOff>
      <xdr:row>5</xdr:row>
      <xdr:rowOff>114300</xdr:rowOff>
    </xdr:from>
    <xdr:to>
      <xdr:col>25</xdr:col>
      <xdr:colOff>190501</xdr:colOff>
      <xdr:row>9</xdr:row>
      <xdr:rowOff>86700</xdr:rowOff>
    </xdr:to>
    <mc:AlternateContent xmlns:mc="http://schemas.openxmlformats.org/markup-compatibility/2006">
      <mc:Choice xmlns:a14="http://schemas.microsoft.com/office/drawing/2010/main" Requires="a14">
        <xdr:graphicFrame macro="">
          <xdr:nvGraphicFramePr>
            <xdr:cNvPr id="18" name="Day_Name">
              <a:extLst>
                <a:ext uri="{FF2B5EF4-FFF2-40B4-BE49-F238E27FC236}">
                  <a16:creationId xmlns:a16="http://schemas.microsoft.com/office/drawing/2014/main" id="{24B35F97-520B-4AAD-A5DE-F40D09F5387E}"/>
                </a:ext>
              </a:extLst>
            </xdr:cNvPr>
            <xdr:cNvGraphicFramePr/>
          </xdr:nvGraphicFramePr>
          <xdr:xfrm>
            <a:off x="0" y="0"/>
            <a:ext cx="0" cy="0"/>
          </xdr:xfrm>
          <a:graphic>
            <a:graphicData uri="http://schemas.microsoft.com/office/drawing/2010/slicer">
              <sle:slicer xmlns:sle="http://schemas.microsoft.com/office/drawing/2010/slicer" name="Day_Name"/>
            </a:graphicData>
          </a:graphic>
        </xdr:graphicFrame>
      </mc:Choice>
      <mc:Fallback>
        <xdr:sp macro="" textlink="">
          <xdr:nvSpPr>
            <xdr:cNvPr id="0" name=""/>
            <xdr:cNvSpPr>
              <a:spLocks noTextEdit="1"/>
            </xdr:cNvSpPr>
          </xdr:nvSpPr>
          <xdr:spPr>
            <a:xfrm>
              <a:off x="7153275" y="1066800"/>
              <a:ext cx="8277226" cy="7344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114301</xdr:colOff>
      <xdr:row>5</xdr:row>
      <xdr:rowOff>123824</xdr:rowOff>
    </xdr:from>
    <xdr:to>
      <xdr:col>11</xdr:col>
      <xdr:colOff>323851</xdr:colOff>
      <xdr:row>9</xdr:row>
      <xdr:rowOff>95249</xdr:rowOff>
    </xdr:to>
    <mc:AlternateContent xmlns:mc="http://schemas.openxmlformats.org/markup-compatibility/2006">
      <mc:Choice xmlns:a14="http://schemas.microsoft.com/office/drawing/2010/main" Requires="a14">
        <xdr:graphicFrame macro="">
          <xdr:nvGraphicFramePr>
            <xdr:cNvPr id="20" name="Country">
              <a:extLst>
                <a:ext uri="{FF2B5EF4-FFF2-40B4-BE49-F238E27FC236}">
                  <a16:creationId xmlns:a16="http://schemas.microsoft.com/office/drawing/2014/main" id="{882D6861-CAAB-41A0-BA0A-AA2D9D51E3D1}"/>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dr:sp macro="" textlink="">
          <xdr:nvSpPr>
            <xdr:cNvPr id="0" name=""/>
            <xdr:cNvSpPr>
              <a:spLocks noTextEdit="1"/>
            </xdr:cNvSpPr>
          </xdr:nvSpPr>
          <xdr:spPr>
            <a:xfrm>
              <a:off x="114301" y="1076324"/>
              <a:ext cx="6915150" cy="7334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104774</xdr:colOff>
      <xdr:row>9</xdr:row>
      <xdr:rowOff>180975</xdr:rowOff>
    </xdr:from>
    <xdr:to>
      <xdr:col>10</xdr:col>
      <xdr:colOff>323850</xdr:colOff>
      <xdr:row>25</xdr:row>
      <xdr:rowOff>12975</xdr:rowOff>
    </xdr:to>
    <xdr:sp macro="" textlink="">
      <xdr:nvSpPr>
        <xdr:cNvPr id="21" name="Rectangle: Rounded Corners 20">
          <a:extLst>
            <a:ext uri="{FF2B5EF4-FFF2-40B4-BE49-F238E27FC236}">
              <a16:creationId xmlns:a16="http://schemas.microsoft.com/office/drawing/2014/main" id="{5A09E06C-04B8-4526-B7A2-4297DAF0ED12}"/>
            </a:ext>
          </a:extLst>
        </xdr:cNvPr>
        <xdr:cNvSpPr/>
      </xdr:nvSpPr>
      <xdr:spPr>
        <a:xfrm>
          <a:off x="104774" y="1895475"/>
          <a:ext cx="6315076" cy="2880000"/>
        </a:xfrm>
        <a:prstGeom prst="roundRect">
          <a:avLst>
            <a:gd name="adj" fmla="val 4377"/>
          </a:avLst>
        </a:prstGeom>
        <a:solidFill>
          <a:schemeClr val="bg1"/>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409575</xdr:colOff>
      <xdr:row>9</xdr:row>
      <xdr:rowOff>180975</xdr:rowOff>
    </xdr:from>
    <xdr:to>
      <xdr:col>19</xdr:col>
      <xdr:colOff>552450</xdr:colOff>
      <xdr:row>25</xdr:row>
      <xdr:rowOff>12975</xdr:rowOff>
    </xdr:to>
    <xdr:sp macro="" textlink="">
      <xdr:nvSpPr>
        <xdr:cNvPr id="23" name="Rectangle: Rounded Corners 22">
          <a:extLst>
            <a:ext uri="{FF2B5EF4-FFF2-40B4-BE49-F238E27FC236}">
              <a16:creationId xmlns:a16="http://schemas.microsoft.com/office/drawing/2014/main" id="{8BFE7021-DE80-4D13-8369-21031CAA62CB}"/>
            </a:ext>
          </a:extLst>
        </xdr:cNvPr>
        <xdr:cNvSpPr/>
      </xdr:nvSpPr>
      <xdr:spPr>
        <a:xfrm>
          <a:off x="6505575" y="1895475"/>
          <a:ext cx="5629275" cy="2880000"/>
        </a:xfrm>
        <a:prstGeom prst="roundRect">
          <a:avLst>
            <a:gd name="adj" fmla="val 4377"/>
          </a:avLst>
        </a:prstGeom>
        <a:solidFill>
          <a:schemeClr val="bg1"/>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20</xdr:col>
      <xdr:colOff>38100</xdr:colOff>
      <xdr:row>9</xdr:row>
      <xdr:rowOff>171449</xdr:rowOff>
    </xdr:from>
    <xdr:to>
      <xdr:col>25</xdr:col>
      <xdr:colOff>200025</xdr:colOff>
      <xdr:row>25</xdr:row>
      <xdr:rowOff>3449</xdr:rowOff>
    </xdr:to>
    <xdr:sp macro="" textlink="">
      <xdr:nvSpPr>
        <xdr:cNvPr id="25" name="Rectangle: Rounded Corners 24">
          <a:extLst>
            <a:ext uri="{FF2B5EF4-FFF2-40B4-BE49-F238E27FC236}">
              <a16:creationId xmlns:a16="http://schemas.microsoft.com/office/drawing/2014/main" id="{33CC7E15-F621-4E9C-8839-58BF15D7A26D}"/>
            </a:ext>
          </a:extLst>
        </xdr:cNvPr>
        <xdr:cNvSpPr/>
      </xdr:nvSpPr>
      <xdr:spPr>
        <a:xfrm>
          <a:off x="12230100" y="1885949"/>
          <a:ext cx="3209925" cy="2880000"/>
        </a:xfrm>
        <a:prstGeom prst="roundRect">
          <a:avLst>
            <a:gd name="adj" fmla="val 4377"/>
          </a:avLst>
        </a:prstGeom>
        <a:solidFill>
          <a:schemeClr val="bg1"/>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600075</xdr:colOff>
      <xdr:row>25</xdr:row>
      <xdr:rowOff>114299</xdr:rowOff>
    </xdr:from>
    <xdr:to>
      <xdr:col>25</xdr:col>
      <xdr:colOff>209551</xdr:colOff>
      <xdr:row>40</xdr:row>
      <xdr:rowOff>136799</xdr:rowOff>
    </xdr:to>
    <xdr:sp macro="" textlink="">
      <xdr:nvSpPr>
        <xdr:cNvPr id="27" name="Rectangle: Rounded Corners 26">
          <a:extLst>
            <a:ext uri="{FF2B5EF4-FFF2-40B4-BE49-F238E27FC236}">
              <a16:creationId xmlns:a16="http://schemas.microsoft.com/office/drawing/2014/main" id="{9690E6CB-9CE4-48B3-9B2C-2633AB0E432C}"/>
            </a:ext>
          </a:extLst>
        </xdr:cNvPr>
        <xdr:cNvSpPr/>
      </xdr:nvSpPr>
      <xdr:spPr>
        <a:xfrm>
          <a:off x="9134475" y="4876799"/>
          <a:ext cx="6315076" cy="2880000"/>
        </a:xfrm>
        <a:prstGeom prst="roundRect">
          <a:avLst>
            <a:gd name="adj" fmla="val 4377"/>
          </a:avLst>
        </a:prstGeom>
        <a:solidFill>
          <a:schemeClr val="bg1"/>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57150</xdr:colOff>
      <xdr:row>25</xdr:row>
      <xdr:rowOff>104775</xdr:rowOff>
    </xdr:from>
    <xdr:to>
      <xdr:col>14</xdr:col>
      <xdr:colOff>523875</xdr:colOff>
      <xdr:row>40</xdr:row>
      <xdr:rowOff>127275</xdr:rowOff>
    </xdr:to>
    <xdr:sp macro="" textlink="">
      <xdr:nvSpPr>
        <xdr:cNvPr id="28" name="Rectangle: Rounded Corners 27">
          <a:extLst>
            <a:ext uri="{FF2B5EF4-FFF2-40B4-BE49-F238E27FC236}">
              <a16:creationId xmlns:a16="http://schemas.microsoft.com/office/drawing/2014/main" id="{3BBF22D7-F40B-4A17-92D4-65C82AB68F15}"/>
            </a:ext>
          </a:extLst>
        </xdr:cNvPr>
        <xdr:cNvSpPr/>
      </xdr:nvSpPr>
      <xdr:spPr>
        <a:xfrm>
          <a:off x="4324350" y="4867275"/>
          <a:ext cx="4733925" cy="2880000"/>
        </a:xfrm>
        <a:prstGeom prst="roundRect">
          <a:avLst>
            <a:gd name="adj" fmla="val 4377"/>
          </a:avLst>
        </a:prstGeom>
        <a:solidFill>
          <a:schemeClr val="bg1"/>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104774</xdr:colOff>
      <xdr:row>25</xdr:row>
      <xdr:rowOff>95250</xdr:rowOff>
    </xdr:from>
    <xdr:to>
      <xdr:col>6</xdr:col>
      <xdr:colOff>571499</xdr:colOff>
      <xdr:row>40</xdr:row>
      <xdr:rowOff>117750</xdr:rowOff>
    </xdr:to>
    <xdr:sp macro="" textlink="">
      <xdr:nvSpPr>
        <xdr:cNvPr id="32" name="Rectangle: Rounded Corners 31">
          <a:extLst>
            <a:ext uri="{FF2B5EF4-FFF2-40B4-BE49-F238E27FC236}">
              <a16:creationId xmlns:a16="http://schemas.microsoft.com/office/drawing/2014/main" id="{785CDF5A-4213-4F5C-9300-88133DA6D40E}"/>
            </a:ext>
          </a:extLst>
        </xdr:cNvPr>
        <xdr:cNvSpPr/>
      </xdr:nvSpPr>
      <xdr:spPr>
        <a:xfrm>
          <a:off x="104774" y="4857750"/>
          <a:ext cx="4124325" cy="2880000"/>
        </a:xfrm>
        <a:prstGeom prst="roundRect">
          <a:avLst>
            <a:gd name="adj" fmla="val 4377"/>
          </a:avLst>
        </a:prstGeom>
        <a:solidFill>
          <a:schemeClr val="bg1"/>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95250</xdr:colOff>
      <xdr:row>9</xdr:row>
      <xdr:rowOff>171450</xdr:rowOff>
    </xdr:from>
    <xdr:to>
      <xdr:col>10</xdr:col>
      <xdr:colOff>314325</xdr:colOff>
      <xdr:row>24</xdr:row>
      <xdr:rowOff>180975</xdr:rowOff>
    </xdr:to>
    <xdr:graphicFrame macro="">
      <xdr:nvGraphicFramePr>
        <xdr:cNvPr id="34" name="Chart 33">
          <a:extLst>
            <a:ext uri="{FF2B5EF4-FFF2-40B4-BE49-F238E27FC236}">
              <a16:creationId xmlns:a16="http://schemas.microsoft.com/office/drawing/2014/main" id="{071393FE-6EF7-4289-A8C2-296310D6C0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409574</xdr:colOff>
      <xdr:row>9</xdr:row>
      <xdr:rowOff>180974</xdr:rowOff>
    </xdr:from>
    <xdr:to>
      <xdr:col>19</xdr:col>
      <xdr:colOff>533399</xdr:colOff>
      <xdr:row>24</xdr:row>
      <xdr:rowOff>171449</xdr:rowOff>
    </xdr:to>
    <xdr:graphicFrame macro="">
      <xdr:nvGraphicFramePr>
        <xdr:cNvPr id="35" name="Chart 34">
          <a:extLst>
            <a:ext uri="{FF2B5EF4-FFF2-40B4-BE49-F238E27FC236}">
              <a16:creationId xmlns:a16="http://schemas.microsoft.com/office/drawing/2014/main" id="{03812A59-5045-420E-A6AA-4A67B468F9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19049</xdr:colOff>
      <xdr:row>9</xdr:row>
      <xdr:rowOff>161923</xdr:rowOff>
    </xdr:from>
    <xdr:to>
      <xdr:col>25</xdr:col>
      <xdr:colOff>200024</xdr:colOff>
      <xdr:row>24</xdr:row>
      <xdr:rowOff>180974</xdr:rowOff>
    </xdr:to>
    <xdr:graphicFrame macro="">
      <xdr:nvGraphicFramePr>
        <xdr:cNvPr id="37" name="Chart 36">
          <a:extLst>
            <a:ext uri="{FF2B5EF4-FFF2-40B4-BE49-F238E27FC236}">
              <a16:creationId xmlns:a16="http://schemas.microsoft.com/office/drawing/2014/main" id="{CEFAB116-51BE-46E8-84B9-53DB13689A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38100</xdr:colOff>
      <xdr:row>25</xdr:row>
      <xdr:rowOff>76200</xdr:rowOff>
    </xdr:from>
    <xdr:to>
      <xdr:col>14</xdr:col>
      <xdr:colOff>514350</xdr:colOff>
      <xdr:row>40</xdr:row>
      <xdr:rowOff>123825</xdr:rowOff>
    </xdr:to>
    <mc:AlternateContent xmlns:mc="http://schemas.openxmlformats.org/markup-compatibility/2006">
      <mc:Choice xmlns:cx1="http://schemas.microsoft.com/office/drawing/2015/9/8/chartex" Requires="cx1">
        <xdr:graphicFrame macro="">
          <xdr:nvGraphicFramePr>
            <xdr:cNvPr id="38" name="Chart 37">
              <a:extLst>
                <a:ext uri="{FF2B5EF4-FFF2-40B4-BE49-F238E27FC236}">
                  <a16:creationId xmlns:a16="http://schemas.microsoft.com/office/drawing/2014/main" id="{BD2EA815-101C-4E31-8E66-B6E0B2A2941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4305300" y="4838700"/>
              <a:ext cx="4743450" cy="2905125"/>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104774</xdr:colOff>
      <xdr:row>25</xdr:row>
      <xdr:rowOff>95250</xdr:rowOff>
    </xdr:from>
    <xdr:to>
      <xdr:col>6</xdr:col>
      <xdr:colOff>552450</xdr:colOff>
      <xdr:row>40</xdr:row>
      <xdr:rowOff>95250</xdr:rowOff>
    </xdr:to>
    <xdr:graphicFrame macro="">
      <xdr:nvGraphicFramePr>
        <xdr:cNvPr id="40" name="Chart 39">
          <a:extLst>
            <a:ext uri="{FF2B5EF4-FFF2-40B4-BE49-F238E27FC236}">
              <a16:creationId xmlns:a16="http://schemas.microsoft.com/office/drawing/2014/main" id="{2F8AAA3E-3E0D-4DF1-BC62-0F913D76B2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600074</xdr:colOff>
      <xdr:row>25</xdr:row>
      <xdr:rowOff>114299</xdr:rowOff>
    </xdr:from>
    <xdr:to>
      <xdr:col>25</xdr:col>
      <xdr:colOff>209549</xdr:colOff>
      <xdr:row>40</xdr:row>
      <xdr:rowOff>123825</xdr:rowOff>
    </xdr:to>
    <xdr:graphicFrame macro="">
      <xdr:nvGraphicFramePr>
        <xdr:cNvPr id="41" name="Chart 40">
          <a:extLst>
            <a:ext uri="{FF2B5EF4-FFF2-40B4-BE49-F238E27FC236}">
              <a16:creationId xmlns:a16="http://schemas.microsoft.com/office/drawing/2014/main" id="{CDDB692B-9FB5-4AAE-91D2-27FA843F58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K" refreshedDate="46041.688586111108" createdVersion="8" refreshedVersion="8" minRefreshableVersion="3" recordCount="1094" xr:uid="{EA27EA9C-76A2-4C61-878C-8BB1BF8CB5D1}">
  <cacheSource type="worksheet">
    <worksheetSource name="Table1"/>
  </cacheSource>
  <cacheFields count="8">
    <cacheField name="Sales Person" numFmtId="0">
      <sharedItems count="25">
        <s v="Jehu Rudeforth"/>
        <s v="Van Tuxwell"/>
        <s v="Gigi Bohling"/>
        <s v="Jan Morforth"/>
        <s v="Oby Sorrel"/>
        <s v="Gunar Cockshoot"/>
        <s v="Brien Boise"/>
        <s v="Rafaelita Blaksland"/>
        <s v="Barr Faughny"/>
        <s v="Mallorie Waber"/>
        <s v="Karlen McCaffrey"/>
        <s v="Marney O'Breen"/>
        <s v="Beverie Moffet"/>
        <s v="Roddy Speechley"/>
        <s v="Curtice Advani"/>
        <s v="Husein Augar"/>
        <s v="Kaine Padly"/>
        <s v="Dennison Crosswaite"/>
        <s v="Wilone O'Kielt"/>
        <s v="Andria Kimpton"/>
        <s v="Kelci Walkden"/>
        <s v="Camilla Castle"/>
        <s v="Madelene Upcott"/>
        <s v="Dotty Strutley"/>
        <s v="Ches Bonnell"/>
      </sharedItems>
    </cacheField>
    <cacheField name="Country" numFmtId="0">
      <sharedItems count="6">
        <s v="UK"/>
        <s v="India"/>
        <s v="Australia"/>
        <s v="New Zealand"/>
        <s v="USA"/>
        <s v="Canada"/>
      </sharedItems>
    </cacheField>
    <cacheField name="Product" numFmtId="0">
      <sharedItems count="22">
        <s v="Mint Chip Choco"/>
        <s v="85% Dark Bars"/>
        <s v="Peanut Butter Cubes"/>
        <s v="Smooth Sliky Salty"/>
        <s v="99% Dark &amp; Pure"/>
        <s v="After Nines"/>
        <s v="50% Dark Bites"/>
        <s v="Orange Choco"/>
        <s v="Eclairs"/>
        <s v="Drinking Coco"/>
        <s v="Organic Choco Syrup"/>
        <s v="Milk Bars"/>
        <s v="Spicy Special Slims"/>
        <s v="Fruit &amp; Nut Bars"/>
        <s v="White Choc"/>
        <s v="Manuka Honey Choco"/>
        <s v="Almond Choco"/>
        <s v="Raspberry Choco"/>
        <s v="Choco Coated Almonds"/>
        <s v="Baker's Choco Chips"/>
        <s v="Caramel Stuffed Bars"/>
        <s v="70% Dark Bites"/>
      </sharedItems>
    </cacheField>
    <cacheField name="Date" numFmtId="14">
      <sharedItems containsSemiMixedTypes="0" containsNonDate="0" containsDate="1" containsString="0" minDate="2022-01-03T00:00:00" maxDate="2022-09-01T00:00:00"/>
    </cacheField>
    <cacheField name="Day_Name" numFmtId="15">
      <sharedItems count="5">
        <s v="Tue"/>
        <s v="Mon"/>
        <s v="Thu"/>
        <s v="Wed"/>
        <s v="Fri"/>
      </sharedItems>
    </cacheField>
    <cacheField name="Month" numFmtId="15">
      <sharedItems count="8">
        <s v="Jan"/>
        <s v="Aug"/>
        <s v="Jul"/>
        <s v="Apr"/>
        <s v="Feb"/>
        <s v="Jun"/>
        <s v="Mar"/>
        <s v="May"/>
      </sharedItems>
    </cacheField>
    <cacheField name="Amount" numFmtId="165">
      <sharedItems containsSemiMixedTypes="0" containsString="0" containsNumber="1" containsInteger="1" minValue="7" maxValue="22050"/>
    </cacheField>
    <cacheField name="Boxes Shipped" numFmtId="0">
      <sharedItems containsSemiMixedTypes="0" containsString="0" containsNumber="1" containsInteger="1" minValue="1" maxValue="709"/>
    </cacheField>
  </cacheFields>
  <extLst>
    <ext xmlns:x14="http://schemas.microsoft.com/office/spreadsheetml/2009/9/main" uri="{725AE2AE-9491-48be-B2B4-4EB974FC3084}">
      <x14:pivotCacheDefinition pivotCacheId="8834047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94">
  <r>
    <x v="0"/>
    <x v="0"/>
    <x v="0"/>
    <d v="2022-01-04T00:00:00"/>
    <x v="0"/>
    <x v="0"/>
    <n v="5320"/>
    <n v="180"/>
  </r>
  <r>
    <x v="1"/>
    <x v="1"/>
    <x v="1"/>
    <d v="2022-08-01T00:00:00"/>
    <x v="1"/>
    <x v="1"/>
    <n v="7896"/>
    <n v="94"/>
  </r>
  <r>
    <x v="2"/>
    <x v="1"/>
    <x v="2"/>
    <d v="2022-07-07T00:00:00"/>
    <x v="2"/>
    <x v="2"/>
    <n v="4501"/>
    <n v="91"/>
  </r>
  <r>
    <x v="3"/>
    <x v="2"/>
    <x v="2"/>
    <d v="2022-04-27T00:00:00"/>
    <x v="3"/>
    <x v="3"/>
    <n v="12726"/>
    <n v="342"/>
  </r>
  <r>
    <x v="0"/>
    <x v="0"/>
    <x v="2"/>
    <d v="2022-02-24T00:00:00"/>
    <x v="2"/>
    <x v="4"/>
    <n v="13685"/>
    <n v="184"/>
  </r>
  <r>
    <x v="1"/>
    <x v="1"/>
    <x v="3"/>
    <d v="2022-06-06T00:00:00"/>
    <x v="1"/>
    <x v="5"/>
    <n v="5376"/>
    <n v="38"/>
  </r>
  <r>
    <x v="4"/>
    <x v="0"/>
    <x v="4"/>
    <d v="2022-01-25T00:00:00"/>
    <x v="0"/>
    <x v="0"/>
    <n v="13685"/>
    <n v="176"/>
  </r>
  <r>
    <x v="5"/>
    <x v="2"/>
    <x v="5"/>
    <d v="2022-03-24T00:00:00"/>
    <x v="2"/>
    <x v="6"/>
    <n v="3080"/>
    <n v="73"/>
  </r>
  <r>
    <x v="0"/>
    <x v="3"/>
    <x v="6"/>
    <d v="2022-04-20T00:00:00"/>
    <x v="3"/>
    <x v="3"/>
    <n v="3990"/>
    <n v="59"/>
  </r>
  <r>
    <x v="6"/>
    <x v="2"/>
    <x v="4"/>
    <d v="2022-07-04T00:00:00"/>
    <x v="1"/>
    <x v="2"/>
    <n v="2835"/>
    <n v="102"/>
  </r>
  <r>
    <x v="7"/>
    <x v="0"/>
    <x v="3"/>
    <d v="2022-01-13T00:00:00"/>
    <x v="2"/>
    <x v="0"/>
    <n v="4704"/>
    <n v="62"/>
  </r>
  <r>
    <x v="8"/>
    <x v="4"/>
    <x v="7"/>
    <d v="2022-03-10T00:00:00"/>
    <x v="2"/>
    <x v="6"/>
    <n v="3703"/>
    <n v="11"/>
  </r>
  <r>
    <x v="9"/>
    <x v="5"/>
    <x v="8"/>
    <d v="2022-01-13T00:00:00"/>
    <x v="2"/>
    <x v="0"/>
    <n v="1442"/>
    <n v="286"/>
  </r>
  <r>
    <x v="10"/>
    <x v="3"/>
    <x v="9"/>
    <d v="2022-07-28T00:00:00"/>
    <x v="2"/>
    <x v="2"/>
    <n v="168"/>
    <n v="156"/>
  </r>
  <r>
    <x v="11"/>
    <x v="3"/>
    <x v="2"/>
    <d v="2022-08-03T00:00:00"/>
    <x v="3"/>
    <x v="1"/>
    <n v="8379"/>
    <n v="173"/>
  </r>
  <r>
    <x v="12"/>
    <x v="2"/>
    <x v="10"/>
    <d v="2022-01-26T00:00:00"/>
    <x v="3"/>
    <x v="0"/>
    <n v="6790"/>
    <n v="356"/>
  </r>
  <r>
    <x v="1"/>
    <x v="5"/>
    <x v="10"/>
    <d v="2022-02-14T00:00:00"/>
    <x v="1"/>
    <x v="4"/>
    <n v="4067"/>
    <n v="42"/>
  </r>
  <r>
    <x v="13"/>
    <x v="4"/>
    <x v="3"/>
    <d v="2022-04-05T00:00:00"/>
    <x v="0"/>
    <x v="3"/>
    <n v="3017"/>
    <n v="140"/>
  </r>
  <r>
    <x v="12"/>
    <x v="5"/>
    <x v="11"/>
    <d v="2022-02-16T00:00:00"/>
    <x v="3"/>
    <x v="4"/>
    <n v="8799"/>
    <n v="250"/>
  </r>
  <r>
    <x v="14"/>
    <x v="0"/>
    <x v="1"/>
    <d v="2022-06-08T00:00:00"/>
    <x v="3"/>
    <x v="5"/>
    <n v="1085"/>
    <n v="172"/>
  </r>
  <r>
    <x v="6"/>
    <x v="2"/>
    <x v="8"/>
    <d v="2022-06-27T00:00:00"/>
    <x v="1"/>
    <x v="5"/>
    <n v="6888"/>
    <n v="88"/>
  </r>
  <r>
    <x v="5"/>
    <x v="4"/>
    <x v="12"/>
    <d v="2022-02-17T00:00:00"/>
    <x v="2"/>
    <x v="4"/>
    <n v="1267"/>
    <n v="157"/>
  </r>
  <r>
    <x v="11"/>
    <x v="4"/>
    <x v="5"/>
    <d v="2022-05-30T00:00:00"/>
    <x v="1"/>
    <x v="7"/>
    <n v="4753"/>
    <n v="163"/>
  </r>
  <r>
    <x v="15"/>
    <x v="0"/>
    <x v="9"/>
    <d v="2022-03-14T00:00:00"/>
    <x v="1"/>
    <x v="6"/>
    <n v="3003"/>
    <n v="113"/>
  </r>
  <r>
    <x v="16"/>
    <x v="2"/>
    <x v="8"/>
    <d v="2022-02-28T00:00:00"/>
    <x v="1"/>
    <x v="4"/>
    <n v="7672"/>
    <n v="115"/>
  </r>
  <r>
    <x v="10"/>
    <x v="1"/>
    <x v="13"/>
    <d v="2022-01-26T00:00:00"/>
    <x v="3"/>
    <x v="0"/>
    <n v="168"/>
    <n v="321"/>
  </r>
  <r>
    <x v="13"/>
    <x v="5"/>
    <x v="12"/>
    <d v="2022-02-09T00:00:00"/>
    <x v="3"/>
    <x v="4"/>
    <n v="1652"/>
    <n v="186"/>
  </r>
  <r>
    <x v="15"/>
    <x v="4"/>
    <x v="8"/>
    <d v="2022-07-07T00:00:00"/>
    <x v="2"/>
    <x v="2"/>
    <n v="4025"/>
    <n v="112"/>
  </r>
  <r>
    <x v="17"/>
    <x v="3"/>
    <x v="14"/>
    <d v="2022-07-05T00:00:00"/>
    <x v="0"/>
    <x v="2"/>
    <n v="9492"/>
    <n v="151"/>
  </r>
  <r>
    <x v="17"/>
    <x v="3"/>
    <x v="15"/>
    <d v="2022-06-15T00:00:00"/>
    <x v="3"/>
    <x v="5"/>
    <n v="5061"/>
    <n v="301"/>
  </r>
  <r>
    <x v="1"/>
    <x v="3"/>
    <x v="1"/>
    <d v="2022-05-24T00:00:00"/>
    <x v="0"/>
    <x v="7"/>
    <n v="1722"/>
    <n v="121"/>
  </r>
  <r>
    <x v="7"/>
    <x v="0"/>
    <x v="4"/>
    <d v="2022-06-29T00:00:00"/>
    <x v="3"/>
    <x v="5"/>
    <n v="12446"/>
    <n v="150"/>
  </r>
  <r>
    <x v="18"/>
    <x v="2"/>
    <x v="15"/>
    <d v="2022-05-11T00:00:00"/>
    <x v="3"/>
    <x v="7"/>
    <n v="4284"/>
    <n v="94"/>
  </r>
  <r>
    <x v="10"/>
    <x v="0"/>
    <x v="16"/>
    <d v="2022-06-30T00:00:00"/>
    <x v="2"/>
    <x v="5"/>
    <n v="6839"/>
    <n v="133"/>
  </r>
  <r>
    <x v="19"/>
    <x v="5"/>
    <x v="5"/>
    <d v="2022-05-11T00:00:00"/>
    <x v="3"/>
    <x v="7"/>
    <n v="2163"/>
    <n v="70"/>
  </r>
  <r>
    <x v="13"/>
    <x v="4"/>
    <x v="15"/>
    <d v="2022-07-22T00:00:00"/>
    <x v="4"/>
    <x v="2"/>
    <n v="9583"/>
    <n v="315"/>
  </r>
  <r>
    <x v="19"/>
    <x v="0"/>
    <x v="6"/>
    <d v="2022-08-24T00:00:00"/>
    <x v="3"/>
    <x v="1"/>
    <n v="2653"/>
    <n v="314"/>
  </r>
  <r>
    <x v="20"/>
    <x v="3"/>
    <x v="5"/>
    <d v="2022-07-07T00:00:00"/>
    <x v="2"/>
    <x v="2"/>
    <n v="147"/>
    <n v="72"/>
  </r>
  <r>
    <x v="21"/>
    <x v="2"/>
    <x v="1"/>
    <d v="2022-05-19T00:00:00"/>
    <x v="2"/>
    <x v="7"/>
    <n v="3654"/>
    <n v="14"/>
  </r>
  <r>
    <x v="10"/>
    <x v="1"/>
    <x v="15"/>
    <d v="2022-07-04T00:00:00"/>
    <x v="1"/>
    <x v="2"/>
    <n v="2443"/>
    <n v="581"/>
  </r>
  <r>
    <x v="20"/>
    <x v="4"/>
    <x v="5"/>
    <d v="2022-06-02T00:00:00"/>
    <x v="2"/>
    <x v="5"/>
    <n v="938"/>
    <n v="16"/>
  </r>
  <r>
    <x v="10"/>
    <x v="4"/>
    <x v="17"/>
    <d v="2022-04-15T00:00:00"/>
    <x v="4"/>
    <x v="3"/>
    <n v="14749"/>
    <n v="354"/>
  </r>
  <r>
    <x v="9"/>
    <x v="5"/>
    <x v="18"/>
    <d v="2022-07-11T00:00:00"/>
    <x v="1"/>
    <x v="2"/>
    <n v="4781"/>
    <n v="241"/>
  </r>
  <r>
    <x v="19"/>
    <x v="1"/>
    <x v="12"/>
    <d v="2022-02-23T00:00:00"/>
    <x v="3"/>
    <x v="4"/>
    <n v="6307"/>
    <n v="142"/>
  </r>
  <r>
    <x v="22"/>
    <x v="5"/>
    <x v="16"/>
    <d v="2022-08-22T00:00:00"/>
    <x v="1"/>
    <x v="1"/>
    <n v="7602"/>
    <n v="102"/>
  </r>
  <r>
    <x v="16"/>
    <x v="4"/>
    <x v="2"/>
    <d v="2022-02-16T00:00:00"/>
    <x v="3"/>
    <x v="4"/>
    <n v="6790"/>
    <n v="188"/>
  </r>
  <r>
    <x v="1"/>
    <x v="4"/>
    <x v="6"/>
    <d v="2022-01-13T00:00:00"/>
    <x v="2"/>
    <x v="0"/>
    <n v="9737"/>
    <n v="160"/>
  </r>
  <r>
    <x v="14"/>
    <x v="2"/>
    <x v="11"/>
    <d v="2022-02-14T00:00:00"/>
    <x v="1"/>
    <x v="4"/>
    <n v="6979"/>
    <n v="18"/>
  </r>
  <r>
    <x v="13"/>
    <x v="1"/>
    <x v="8"/>
    <d v="2022-06-10T00:00:00"/>
    <x v="4"/>
    <x v="5"/>
    <n v="4382"/>
    <n v="303"/>
  </r>
  <r>
    <x v="14"/>
    <x v="1"/>
    <x v="13"/>
    <d v="2022-07-07T00:00:00"/>
    <x v="2"/>
    <x v="2"/>
    <n v="5243"/>
    <n v="176"/>
  </r>
  <r>
    <x v="14"/>
    <x v="5"/>
    <x v="16"/>
    <d v="2022-03-24T00:00:00"/>
    <x v="2"/>
    <x v="6"/>
    <n v="4865"/>
    <n v="70"/>
  </r>
  <r>
    <x v="6"/>
    <x v="2"/>
    <x v="13"/>
    <d v="2022-06-06T00:00:00"/>
    <x v="1"/>
    <x v="5"/>
    <n v="8575"/>
    <n v="23"/>
  </r>
  <r>
    <x v="23"/>
    <x v="2"/>
    <x v="9"/>
    <d v="2022-07-19T00:00:00"/>
    <x v="0"/>
    <x v="2"/>
    <n v="91"/>
    <n v="135"/>
  </r>
  <r>
    <x v="12"/>
    <x v="4"/>
    <x v="17"/>
    <d v="2022-04-19T00:00:00"/>
    <x v="0"/>
    <x v="3"/>
    <n v="14798"/>
    <n v="83"/>
  </r>
  <r>
    <x v="11"/>
    <x v="1"/>
    <x v="1"/>
    <d v="2022-07-19T00:00:00"/>
    <x v="0"/>
    <x v="2"/>
    <n v="2205"/>
    <n v="179"/>
  </r>
  <r>
    <x v="0"/>
    <x v="5"/>
    <x v="9"/>
    <d v="2022-07-15T00:00:00"/>
    <x v="4"/>
    <x v="2"/>
    <n v="441"/>
    <n v="24"/>
  </r>
  <r>
    <x v="24"/>
    <x v="3"/>
    <x v="12"/>
    <d v="2022-02-14T00:00:00"/>
    <x v="1"/>
    <x v="4"/>
    <n v="3556"/>
    <n v="18"/>
  </r>
  <r>
    <x v="6"/>
    <x v="5"/>
    <x v="4"/>
    <d v="2022-05-18T00:00:00"/>
    <x v="3"/>
    <x v="7"/>
    <n v="16793"/>
    <n v="416"/>
  </r>
  <r>
    <x v="8"/>
    <x v="2"/>
    <x v="13"/>
    <d v="2022-06-30T00:00:00"/>
    <x v="2"/>
    <x v="5"/>
    <n v="15421"/>
    <n v="55"/>
  </r>
  <r>
    <x v="19"/>
    <x v="2"/>
    <x v="6"/>
    <d v="2022-06-02T00:00:00"/>
    <x v="2"/>
    <x v="5"/>
    <n v="4438"/>
    <n v="227"/>
  </r>
  <r>
    <x v="19"/>
    <x v="2"/>
    <x v="9"/>
    <d v="2022-06-28T00:00:00"/>
    <x v="0"/>
    <x v="5"/>
    <n v="1603"/>
    <n v="48"/>
  </r>
  <r>
    <x v="11"/>
    <x v="2"/>
    <x v="10"/>
    <d v="2022-05-16T00:00:00"/>
    <x v="1"/>
    <x v="7"/>
    <n v="273"/>
    <n v="174"/>
  </r>
  <r>
    <x v="20"/>
    <x v="5"/>
    <x v="19"/>
    <d v="2022-05-26T00:00:00"/>
    <x v="2"/>
    <x v="7"/>
    <n v="3073"/>
    <n v="302"/>
  </r>
  <r>
    <x v="10"/>
    <x v="1"/>
    <x v="16"/>
    <d v="2022-07-06T00:00:00"/>
    <x v="3"/>
    <x v="2"/>
    <n v="6090"/>
    <n v="149"/>
  </r>
  <r>
    <x v="4"/>
    <x v="1"/>
    <x v="4"/>
    <d v="2022-05-27T00:00:00"/>
    <x v="4"/>
    <x v="7"/>
    <n v="10255"/>
    <n v="11"/>
  </r>
  <r>
    <x v="18"/>
    <x v="2"/>
    <x v="20"/>
    <d v="2022-04-14T00:00:00"/>
    <x v="2"/>
    <x v="3"/>
    <n v="2030"/>
    <n v="11"/>
  </r>
  <r>
    <x v="1"/>
    <x v="2"/>
    <x v="10"/>
    <d v="2022-08-10T00:00:00"/>
    <x v="3"/>
    <x v="1"/>
    <n v="19453"/>
    <n v="14"/>
  </r>
  <r>
    <x v="21"/>
    <x v="1"/>
    <x v="6"/>
    <d v="2022-07-04T00:00:00"/>
    <x v="1"/>
    <x v="2"/>
    <n v="9275"/>
    <n v="411"/>
  </r>
  <r>
    <x v="4"/>
    <x v="1"/>
    <x v="10"/>
    <d v="2022-07-08T00:00:00"/>
    <x v="4"/>
    <x v="2"/>
    <n v="6181"/>
    <n v="56"/>
  </r>
  <r>
    <x v="3"/>
    <x v="4"/>
    <x v="2"/>
    <d v="2022-07-22T00:00:00"/>
    <x v="4"/>
    <x v="2"/>
    <n v="9037"/>
    <n v="102"/>
  </r>
  <r>
    <x v="2"/>
    <x v="4"/>
    <x v="18"/>
    <d v="2022-03-02T00:00:00"/>
    <x v="3"/>
    <x v="6"/>
    <n v="12313"/>
    <n v="103"/>
  </r>
  <r>
    <x v="2"/>
    <x v="0"/>
    <x v="16"/>
    <d v="2022-01-10T00:00:00"/>
    <x v="1"/>
    <x v="0"/>
    <n v="5642"/>
    <n v="9"/>
  </r>
  <r>
    <x v="0"/>
    <x v="3"/>
    <x v="14"/>
    <d v="2022-03-11T00:00:00"/>
    <x v="4"/>
    <x v="6"/>
    <n v="2800"/>
    <n v="241"/>
  </r>
  <r>
    <x v="19"/>
    <x v="3"/>
    <x v="2"/>
    <d v="2022-06-20T00:00:00"/>
    <x v="1"/>
    <x v="5"/>
    <n v="959"/>
    <n v="265"/>
  </r>
  <r>
    <x v="1"/>
    <x v="0"/>
    <x v="10"/>
    <d v="2022-08-26T00:00:00"/>
    <x v="4"/>
    <x v="1"/>
    <n v="2002"/>
    <n v="214"/>
  </r>
  <r>
    <x v="13"/>
    <x v="5"/>
    <x v="11"/>
    <d v="2022-07-13T00:00:00"/>
    <x v="3"/>
    <x v="2"/>
    <n v="609"/>
    <n v="32"/>
  </r>
  <r>
    <x v="21"/>
    <x v="4"/>
    <x v="12"/>
    <d v="2022-02-11T00:00:00"/>
    <x v="4"/>
    <x v="4"/>
    <n v="1274"/>
    <n v="244"/>
  </r>
  <r>
    <x v="11"/>
    <x v="4"/>
    <x v="7"/>
    <d v="2022-01-27T00:00:00"/>
    <x v="2"/>
    <x v="0"/>
    <n v="7595"/>
    <n v="181"/>
  </r>
  <r>
    <x v="1"/>
    <x v="0"/>
    <x v="4"/>
    <d v="2022-01-31T00:00:00"/>
    <x v="1"/>
    <x v="0"/>
    <n v="4725"/>
    <n v="137"/>
  </r>
  <r>
    <x v="21"/>
    <x v="4"/>
    <x v="14"/>
    <d v="2022-08-18T00:00:00"/>
    <x v="2"/>
    <x v="1"/>
    <n v="9681"/>
    <n v="24"/>
  </r>
  <r>
    <x v="19"/>
    <x v="4"/>
    <x v="17"/>
    <d v="2022-06-30T00:00:00"/>
    <x v="2"/>
    <x v="5"/>
    <n v="14504"/>
    <n v="21"/>
  </r>
  <r>
    <x v="23"/>
    <x v="2"/>
    <x v="13"/>
    <d v="2022-08-23T00:00:00"/>
    <x v="0"/>
    <x v="1"/>
    <n v="280"/>
    <n v="311"/>
  </r>
  <r>
    <x v="6"/>
    <x v="3"/>
    <x v="0"/>
    <d v="2022-08-01T00:00:00"/>
    <x v="1"/>
    <x v="1"/>
    <n v="63"/>
    <n v="181"/>
  </r>
  <r>
    <x v="13"/>
    <x v="3"/>
    <x v="5"/>
    <d v="2022-05-25T00:00:00"/>
    <x v="3"/>
    <x v="7"/>
    <n v="8001"/>
    <n v="10"/>
  </r>
  <r>
    <x v="13"/>
    <x v="5"/>
    <x v="10"/>
    <d v="2022-01-10T00:00:00"/>
    <x v="1"/>
    <x v="0"/>
    <n v="4032"/>
    <n v="82"/>
  </r>
  <r>
    <x v="17"/>
    <x v="2"/>
    <x v="21"/>
    <d v="2022-02-07T00:00:00"/>
    <x v="1"/>
    <x v="4"/>
    <n v="5859"/>
    <n v="108"/>
  </r>
  <r>
    <x v="10"/>
    <x v="4"/>
    <x v="7"/>
    <d v="2022-05-12T00:00:00"/>
    <x v="2"/>
    <x v="7"/>
    <n v="11095"/>
    <n v="401"/>
  </r>
  <r>
    <x v="22"/>
    <x v="2"/>
    <x v="12"/>
    <d v="2022-03-07T00:00:00"/>
    <x v="1"/>
    <x v="6"/>
    <n v="7182"/>
    <n v="408"/>
  </r>
  <r>
    <x v="17"/>
    <x v="2"/>
    <x v="1"/>
    <d v="2022-04-05T00:00:00"/>
    <x v="0"/>
    <x v="3"/>
    <n v="6881"/>
    <n v="420"/>
  </r>
  <r>
    <x v="19"/>
    <x v="5"/>
    <x v="20"/>
    <d v="2022-01-03T00:00:00"/>
    <x v="1"/>
    <x v="0"/>
    <n v="7154"/>
    <n v="348"/>
  </r>
  <r>
    <x v="17"/>
    <x v="0"/>
    <x v="8"/>
    <d v="2022-03-24T00:00:00"/>
    <x v="2"/>
    <x v="6"/>
    <n v="6188"/>
    <n v="270"/>
  </r>
  <r>
    <x v="22"/>
    <x v="1"/>
    <x v="17"/>
    <d v="2022-07-07T00:00:00"/>
    <x v="2"/>
    <x v="2"/>
    <n v="4221"/>
    <n v="9"/>
  </r>
  <r>
    <x v="1"/>
    <x v="4"/>
    <x v="5"/>
    <d v="2022-07-26T00:00:00"/>
    <x v="0"/>
    <x v="2"/>
    <n v="630"/>
    <n v="264"/>
  </r>
  <r>
    <x v="18"/>
    <x v="2"/>
    <x v="10"/>
    <d v="2022-07-07T00:00:00"/>
    <x v="2"/>
    <x v="2"/>
    <n v="1743"/>
    <n v="111"/>
  </r>
  <r>
    <x v="10"/>
    <x v="5"/>
    <x v="6"/>
    <d v="2022-07-15T00:00:00"/>
    <x v="4"/>
    <x v="2"/>
    <n v="2919"/>
    <n v="65"/>
  </r>
  <r>
    <x v="13"/>
    <x v="3"/>
    <x v="7"/>
    <d v="2022-04-01T00:00:00"/>
    <x v="4"/>
    <x v="3"/>
    <n v="49"/>
    <n v="97"/>
  </r>
  <r>
    <x v="12"/>
    <x v="2"/>
    <x v="8"/>
    <d v="2022-06-20T00:00:00"/>
    <x v="1"/>
    <x v="5"/>
    <n v="1827"/>
    <n v="6"/>
  </r>
  <r>
    <x v="20"/>
    <x v="0"/>
    <x v="13"/>
    <d v="2022-06-29T00:00:00"/>
    <x v="3"/>
    <x v="5"/>
    <n v="13006"/>
    <n v="482"/>
  </r>
  <r>
    <x v="11"/>
    <x v="4"/>
    <x v="6"/>
    <d v="2022-06-15T00:00:00"/>
    <x v="3"/>
    <x v="5"/>
    <n v="1064"/>
    <n v="106"/>
  </r>
  <r>
    <x v="15"/>
    <x v="4"/>
    <x v="5"/>
    <d v="2022-04-08T00:00:00"/>
    <x v="4"/>
    <x v="3"/>
    <n v="11571"/>
    <n v="180"/>
  </r>
  <r>
    <x v="17"/>
    <x v="2"/>
    <x v="17"/>
    <d v="2022-03-14T00:00:00"/>
    <x v="1"/>
    <x v="6"/>
    <n v="5740"/>
    <n v="31"/>
  </r>
  <r>
    <x v="19"/>
    <x v="4"/>
    <x v="13"/>
    <d v="2022-07-15T00:00:00"/>
    <x v="4"/>
    <x v="2"/>
    <n v="1456"/>
    <n v="359"/>
  </r>
  <r>
    <x v="20"/>
    <x v="1"/>
    <x v="8"/>
    <d v="2022-04-19T00:00:00"/>
    <x v="0"/>
    <x v="3"/>
    <n v="5334"/>
    <n v="80"/>
  </r>
  <r>
    <x v="11"/>
    <x v="4"/>
    <x v="4"/>
    <d v="2022-03-28T00:00:00"/>
    <x v="1"/>
    <x v="6"/>
    <n v="4151"/>
    <n v="296"/>
  </r>
  <r>
    <x v="6"/>
    <x v="5"/>
    <x v="12"/>
    <d v="2022-03-04T00:00:00"/>
    <x v="4"/>
    <x v="6"/>
    <n v="8106"/>
    <n v="101"/>
  </r>
  <r>
    <x v="10"/>
    <x v="3"/>
    <x v="21"/>
    <d v="2022-08-02T00:00:00"/>
    <x v="0"/>
    <x v="1"/>
    <n v="126"/>
    <n v="40"/>
  </r>
  <r>
    <x v="15"/>
    <x v="0"/>
    <x v="12"/>
    <d v="2022-08-25T00:00:00"/>
    <x v="2"/>
    <x v="1"/>
    <n v="4697"/>
    <n v="42"/>
  </r>
  <r>
    <x v="11"/>
    <x v="4"/>
    <x v="16"/>
    <d v="2022-02-25T00:00:00"/>
    <x v="4"/>
    <x v="4"/>
    <n v="7798"/>
    <n v="167"/>
  </r>
  <r>
    <x v="20"/>
    <x v="1"/>
    <x v="7"/>
    <d v="2022-06-07T00:00:00"/>
    <x v="0"/>
    <x v="5"/>
    <n v="9408"/>
    <n v="138"/>
  </r>
  <r>
    <x v="3"/>
    <x v="1"/>
    <x v="12"/>
    <d v="2022-04-12T00:00:00"/>
    <x v="0"/>
    <x v="3"/>
    <n v="1939"/>
    <n v="520"/>
  </r>
  <r>
    <x v="24"/>
    <x v="1"/>
    <x v="12"/>
    <d v="2022-07-06T00:00:00"/>
    <x v="3"/>
    <x v="2"/>
    <n v="10906"/>
    <n v="94"/>
  </r>
  <r>
    <x v="20"/>
    <x v="0"/>
    <x v="3"/>
    <d v="2022-01-19T00:00:00"/>
    <x v="3"/>
    <x v="0"/>
    <n v="5929"/>
    <n v="175"/>
  </r>
  <r>
    <x v="22"/>
    <x v="2"/>
    <x v="13"/>
    <d v="2022-01-05T00:00:00"/>
    <x v="3"/>
    <x v="0"/>
    <n v="5579"/>
    <n v="92"/>
  </r>
  <r>
    <x v="22"/>
    <x v="5"/>
    <x v="21"/>
    <d v="2022-01-24T00:00:00"/>
    <x v="1"/>
    <x v="0"/>
    <n v="10927"/>
    <n v="141"/>
  </r>
  <r>
    <x v="18"/>
    <x v="2"/>
    <x v="9"/>
    <d v="2022-04-06T00:00:00"/>
    <x v="3"/>
    <x v="3"/>
    <n v="623"/>
    <n v="283"/>
  </r>
  <r>
    <x v="5"/>
    <x v="2"/>
    <x v="13"/>
    <d v="2022-06-15T00:00:00"/>
    <x v="3"/>
    <x v="5"/>
    <n v="6013"/>
    <n v="21"/>
  </r>
  <r>
    <x v="2"/>
    <x v="5"/>
    <x v="19"/>
    <d v="2022-01-28T00:00:00"/>
    <x v="4"/>
    <x v="0"/>
    <n v="1505"/>
    <n v="47"/>
  </r>
  <r>
    <x v="20"/>
    <x v="1"/>
    <x v="20"/>
    <d v="2022-03-16T00:00:00"/>
    <x v="3"/>
    <x v="6"/>
    <n v="476"/>
    <n v="125"/>
  </r>
  <r>
    <x v="7"/>
    <x v="2"/>
    <x v="9"/>
    <d v="2022-02-21T00:00:00"/>
    <x v="1"/>
    <x v="4"/>
    <n v="11550"/>
    <n v="396"/>
  </r>
  <r>
    <x v="20"/>
    <x v="4"/>
    <x v="15"/>
    <d v="2022-02-16T00:00:00"/>
    <x v="3"/>
    <x v="4"/>
    <n v="17318"/>
    <n v="87"/>
  </r>
  <r>
    <x v="0"/>
    <x v="5"/>
    <x v="12"/>
    <d v="2022-01-13T00:00:00"/>
    <x v="2"/>
    <x v="0"/>
    <n v="1848"/>
    <n v="27"/>
  </r>
  <r>
    <x v="20"/>
    <x v="2"/>
    <x v="8"/>
    <d v="2022-03-23T00:00:00"/>
    <x v="3"/>
    <x v="6"/>
    <n v="7273"/>
    <n v="547"/>
  </r>
  <r>
    <x v="14"/>
    <x v="5"/>
    <x v="12"/>
    <d v="2022-06-16T00:00:00"/>
    <x v="2"/>
    <x v="5"/>
    <n v="854"/>
    <n v="118"/>
  </r>
  <r>
    <x v="4"/>
    <x v="1"/>
    <x v="17"/>
    <d v="2022-04-14T00:00:00"/>
    <x v="2"/>
    <x v="3"/>
    <n v="6832"/>
    <n v="46"/>
  </r>
  <r>
    <x v="20"/>
    <x v="0"/>
    <x v="8"/>
    <d v="2022-01-25T00:00:00"/>
    <x v="0"/>
    <x v="0"/>
    <n v="4606"/>
    <n v="57"/>
  </r>
  <r>
    <x v="3"/>
    <x v="1"/>
    <x v="16"/>
    <d v="2022-03-11T00:00:00"/>
    <x v="4"/>
    <x v="6"/>
    <n v="4466"/>
    <n v="22"/>
  </r>
  <r>
    <x v="23"/>
    <x v="0"/>
    <x v="16"/>
    <d v="2022-07-28T00:00:00"/>
    <x v="2"/>
    <x v="2"/>
    <n v="16114"/>
    <n v="96"/>
  </r>
  <r>
    <x v="11"/>
    <x v="3"/>
    <x v="5"/>
    <d v="2022-03-09T00:00:00"/>
    <x v="3"/>
    <x v="6"/>
    <n v="1561"/>
    <n v="44"/>
  </r>
  <r>
    <x v="15"/>
    <x v="2"/>
    <x v="7"/>
    <d v="2022-06-28T00:00:00"/>
    <x v="0"/>
    <x v="5"/>
    <n v="8897"/>
    <n v="188"/>
  </r>
  <r>
    <x v="11"/>
    <x v="2"/>
    <x v="11"/>
    <d v="2022-07-28T00:00:00"/>
    <x v="2"/>
    <x v="2"/>
    <n v="2464"/>
    <n v="387"/>
  </r>
  <r>
    <x v="20"/>
    <x v="5"/>
    <x v="4"/>
    <d v="2022-08-15T00:00:00"/>
    <x v="1"/>
    <x v="1"/>
    <n v="4830"/>
    <n v="50"/>
  </r>
  <r>
    <x v="16"/>
    <x v="2"/>
    <x v="15"/>
    <d v="2022-01-12T00:00:00"/>
    <x v="3"/>
    <x v="0"/>
    <n v="2765"/>
    <n v="264"/>
  </r>
  <r>
    <x v="12"/>
    <x v="3"/>
    <x v="14"/>
    <d v="2022-03-24T00:00:00"/>
    <x v="2"/>
    <x v="6"/>
    <n v="7126"/>
    <n v="7"/>
  </r>
  <r>
    <x v="1"/>
    <x v="0"/>
    <x v="11"/>
    <d v="2022-07-25T00:00:00"/>
    <x v="1"/>
    <x v="2"/>
    <n v="4263"/>
    <n v="90"/>
  </r>
  <r>
    <x v="4"/>
    <x v="5"/>
    <x v="4"/>
    <d v="2022-08-01T00:00:00"/>
    <x v="1"/>
    <x v="1"/>
    <n v="3605"/>
    <n v="403"/>
  </r>
  <r>
    <x v="1"/>
    <x v="1"/>
    <x v="10"/>
    <d v="2022-05-16T00:00:00"/>
    <x v="1"/>
    <x v="7"/>
    <n v="19929"/>
    <n v="174"/>
  </r>
  <r>
    <x v="13"/>
    <x v="1"/>
    <x v="3"/>
    <d v="2022-08-10T00:00:00"/>
    <x v="3"/>
    <x v="1"/>
    <n v="5103"/>
    <n v="140"/>
  </r>
  <r>
    <x v="3"/>
    <x v="1"/>
    <x v="8"/>
    <d v="2022-01-05T00:00:00"/>
    <x v="3"/>
    <x v="0"/>
    <n v="2541"/>
    <n v="27"/>
  </r>
  <r>
    <x v="24"/>
    <x v="0"/>
    <x v="3"/>
    <d v="2022-07-11T00:00:00"/>
    <x v="1"/>
    <x v="2"/>
    <n v="5663"/>
    <n v="110"/>
  </r>
  <r>
    <x v="18"/>
    <x v="4"/>
    <x v="5"/>
    <d v="2022-04-25T00:00:00"/>
    <x v="1"/>
    <x v="3"/>
    <n v="392"/>
    <n v="30"/>
  </r>
  <r>
    <x v="2"/>
    <x v="3"/>
    <x v="13"/>
    <d v="2022-04-04T00:00:00"/>
    <x v="1"/>
    <x v="3"/>
    <n v="10976"/>
    <n v="121"/>
  </r>
  <r>
    <x v="8"/>
    <x v="4"/>
    <x v="17"/>
    <d v="2022-04-12T00:00:00"/>
    <x v="0"/>
    <x v="3"/>
    <n v="9282"/>
    <n v="101"/>
  </r>
  <r>
    <x v="18"/>
    <x v="3"/>
    <x v="1"/>
    <d v="2022-08-02T00:00:00"/>
    <x v="0"/>
    <x v="1"/>
    <n v="1827"/>
    <n v="117"/>
  </r>
  <r>
    <x v="2"/>
    <x v="3"/>
    <x v="15"/>
    <d v="2022-06-28T00:00:00"/>
    <x v="0"/>
    <x v="5"/>
    <n v="8267"/>
    <n v="272"/>
  </r>
  <r>
    <x v="24"/>
    <x v="2"/>
    <x v="8"/>
    <d v="2022-07-05T00:00:00"/>
    <x v="0"/>
    <x v="2"/>
    <n v="4116"/>
    <n v="128"/>
  </r>
  <r>
    <x v="7"/>
    <x v="3"/>
    <x v="18"/>
    <d v="2022-06-07T00:00:00"/>
    <x v="0"/>
    <x v="5"/>
    <n v="2093"/>
    <n v="45"/>
  </r>
  <r>
    <x v="6"/>
    <x v="3"/>
    <x v="3"/>
    <d v="2022-01-18T00:00:00"/>
    <x v="0"/>
    <x v="0"/>
    <n v="1015"/>
    <n v="27"/>
  </r>
  <r>
    <x v="6"/>
    <x v="2"/>
    <x v="19"/>
    <d v="2022-01-04T00:00:00"/>
    <x v="0"/>
    <x v="0"/>
    <n v="12516"/>
    <n v="212"/>
  </r>
  <r>
    <x v="17"/>
    <x v="2"/>
    <x v="4"/>
    <d v="2022-01-31T00:00:00"/>
    <x v="1"/>
    <x v="0"/>
    <n v="2758"/>
    <n v="18"/>
  </r>
  <r>
    <x v="20"/>
    <x v="1"/>
    <x v="16"/>
    <d v="2022-03-14T00:00:00"/>
    <x v="1"/>
    <x v="6"/>
    <n v="3297"/>
    <n v="149"/>
  </r>
  <r>
    <x v="21"/>
    <x v="2"/>
    <x v="21"/>
    <d v="2022-04-29T00:00:00"/>
    <x v="4"/>
    <x v="3"/>
    <n v="6048"/>
    <n v="477"/>
  </r>
  <r>
    <x v="4"/>
    <x v="1"/>
    <x v="3"/>
    <d v="2022-02-07T00:00:00"/>
    <x v="1"/>
    <x v="4"/>
    <n v="10101"/>
    <n v="108"/>
  </r>
  <r>
    <x v="16"/>
    <x v="0"/>
    <x v="10"/>
    <d v="2022-03-31T00:00:00"/>
    <x v="2"/>
    <x v="6"/>
    <n v="2282"/>
    <n v="178"/>
  </r>
  <r>
    <x v="11"/>
    <x v="1"/>
    <x v="20"/>
    <d v="2022-03-16T00:00:00"/>
    <x v="3"/>
    <x v="6"/>
    <n v="4361"/>
    <n v="81"/>
  </r>
  <r>
    <x v="10"/>
    <x v="0"/>
    <x v="8"/>
    <d v="2022-01-25T00:00:00"/>
    <x v="0"/>
    <x v="0"/>
    <n v="7798"/>
    <n v="196"/>
  </r>
  <r>
    <x v="1"/>
    <x v="1"/>
    <x v="19"/>
    <d v="2022-06-20T00:00:00"/>
    <x v="1"/>
    <x v="5"/>
    <n v="3052"/>
    <n v="447"/>
  </r>
  <r>
    <x v="2"/>
    <x v="0"/>
    <x v="5"/>
    <d v="2022-03-29T00:00:00"/>
    <x v="0"/>
    <x v="6"/>
    <n v="8029"/>
    <n v="175"/>
  </r>
  <r>
    <x v="14"/>
    <x v="2"/>
    <x v="7"/>
    <d v="2022-07-12T00:00:00"/>
    <x v="0"/>
    <x v="2"/>
    <n v="854"/>
    <n v="136"/>
  </r>
  <r>
    <x v="0"/>
    <x v="5"/>
    <x v="3"/>
    <d v="2022-07-11T00:00:00"/>
    <x v="1"/>
    <x v="2"/>
    <n v="5460"/>
    <n v="138"/>
  </r>
  <r>
    <x v="10"/>
    <x v="5"/>
    <x v="3"/>
    <d v="2022-01-19T00:00:00"/>
    <x v="3"/>
    <x v="0"/>
    <n v="3017"/>
    <n v="184"/>
  </r>
  <r>
    <x v="19"/>
    <x v="4"/>
    <x v="1"/>
    <d v="2022-04-05T00:00:00"/>
    <x v="0"/>
    <x v="3"/>
    <n v="8911"/>
    <n v="82"/>
  </r>
  <r>
    <x v="0"/>
    <x v="5"/>
    <x v="11"/>
    <d v="2022-02-21T00:00:00"/>
    <x v="1"/>
    <x v="4"/>
    <n v="7203"/>
    <n v="12"/>
  </r>
  <r>
    <x v="7"/>
    <x v="3"/>
    <x v="20"/>
    <d v="2022-05-20T00:00:00"/>
    <x v="4"/>
    <x v="7"/>
    <n v="13083"/>
    <n v="14"/>
  </r>
  <r>
    <x v="9"/>
    <x v="2"/>
    <x v="11"/>
    <d v="2022-07-29T00:00:00"/>
    <x v="4"/>
    <x v="2"/>
    <n v="2779"/>
    <n v="104"/>
  </r>
  <r>
    <x v="8"/>
    <x v="4"/>
    <x v="13"/>
    <d v="2022-01-28T00:00:00"/>
    <x v="4"/>
    <x v="0"/>
    <n v="9058"/>
    <n v="46"/>
  </r>
  <r>
    <x v="11"/>
    <x v="0"/>
    <x v="20"/>
    <d v="2022-07-19T00:00:00"/>
    <x v="0"/>
    <x v="2"/>
    <n v="3549"/>
    <n v="112"/>
  </r>
  <r>
    <x v="9"/>
    <x v="3"/>
    <x v="15"/>
    <d v="2022-04-13T00:00:00"/>
    <x v="3"/>
    <x v="3"/>
    <n v="9436"/>
    <n v="11"/>
  </r>
  <r>
    <x v="13"/>
    <x v="1"/>
    <x v="2"/>
    <d v="2022-02-11T00:00:00"/>
    <x v="4"/>
    <x v="4"/>
    <n v="10283"/>
    <n v="21"/>
  </r>
  <r>
    <x v="13"/>
    <x v="3"/>
    <x v="11"/>
    <d v="2022-03-02T00:00:00"/>
    <x v="3"/>
    <x v="6"/>
    <n v="5446"/>
    <n v="116"/>
  </r>
  <r>
    <x v="24"/>
    <x v="2"/>
    <x v="14"/>
    <d v="2022-03-02T00:00:00"/>
    <x v="3"/>
    <x v="6"/>
    <n v="1043"/>
    <n v="202"/>
  </r>
  <r>
    <x v="1"/>
    <x v="4"/>
    <x v="4"/>
    <d v="2022-07-28T00:00:00"/>
    <x v="2"/>
    <x v="2"/>
    <n v="12586"/>
    <n v="6"/>
  </r>
  <r>
    <x v="20"/>
    <x v="1"/>
    <x v="5"/>
    <d v="2022-01-07T00:00:00"/>
    <x v="4"/>
    <x v="0"/>
    <n v="1687"/>
    <n v="520"/>
  </r>
  <r>
    <x v="6"/>
    <x v="0"/>
    <x v="14"/>
    <d v="2022-04-12T00:00:00"/>
    <x v="0"/>
    <x v="3"/>
    <n v="5299"/>
    <n v="167"/>
  </r>
  <r>
    <x v="1"/>
    <x v="5"/>
    <x v="16"/>
    <d v="2022-06-27T00:00:00"/>
    <x v="1"/>
    <x v="5"/>
    <n v="3213"/>
    <n v="72"/>
  </r>
  <r>
    <x v="0"/>
    <x v="2"/>
    <x v="6"/>
    <d v="2022-01-14T00:00:00"/>
    <x v="4"/>
    <x v="0"/>
    <n v="5194"/>
    <n v="418"/>
  </r>
  <r>
    <x v="10"/>
    <x v="0"/>
    <x v="19"/>
    <d v="2022-02-07T00:00:00"/>
    <x v="1"/>
    <x v="4"/>
    <n v="4753"/>
    <n v="389"/>
  </r>
  <r>
    <x v="0"/>
    <x v="2"/>
    <x v="7"/>
    <d v="2022-03-23T00:00:00"/>
    <x v="3"/>
    <x v="6"/>
    <n v="13706"/>
    <n v="26"/>
  </r>
  <r>
    <x v="11"/>
    <x v="1"/>
    <x v="2"/>
    <d v="2022-01-10T00:00:00"/>
    <x v="1"/>
    <x v="0"/>
    <n v="6489"/>
    <n v="146"/>
  </r>
  <r>
    <x v="4"/>
    <x v="0"/>
    <x v="18"/>
    <d v="2022-03-17T00:00:00"/>
    <x v="2"/>
    <x v="6"/>
    <n v="9324"/>
    <n v="41"/>
  </r>
  <r>
    <x v="2"/>
    <x v="4"/>
    <x v="12"/>
    <d v="2022-01-21T00:00:00"/>
    <x v="4"/>
    <x v="0"/>
    <n v="10829"/>
    <n v="54"/>
  </r>
  <r>
    <x v="8"/>
    <x v="2"/>
    <x v="14"/>
    <d v="2022-07-04T00:00:00"/>
    <x v="1"/>
    <x v="2"/>
    <n v="8113"/>
    <n v="370"/>
  </r>
  <r>
    <x v="16"/>
    <x v="5"/>
    <x v="2"/>
    <d v="2022-07-04T00:00:00"/>
    <x v="1"/>
    <x v="2"/>
    <n v="3269"/>
    <n v="176"/>
  </r>
  <r>
    <x v="23"/>
    <x v="4"/>
    <x v="15"/>
    <d v="2022-08-10T00:00:00"/>
    <x v="3"/>
    <x v="1"/>
    <n v="273"/>
    <n v="210"/>
  </r>
  <r>
    <x v="17"/>
    <x v="2"/>
    <x v="6"/>
    <d v="2022-04-01T00:00:00"/>
    <x v="4"/>
    <x v="3"/>
    <n v="7287"/>
    <n v="12"/>
  </r>
  <r>
    <x v="2"/>
    <x v="1"/>
    <x v="17"/>
    <d v="2022-02-22T00:00:00"/>
    <x v="0"/>
    <x v="4"/>
    <n v="2583"/>
    <n v="159"/>
  </r>
  <r>
    <x v="21"/>
    <x v="0"/>
    <x v="14"/>
    <d v="2022-01-03T00:00:00"/>
    <x v="1"/>
    <x v="0"/>
    <n v="9982"/>
    <n v="187"/>
  </r>
  <r>
    <x v="10"/>
    <x v="1"/>
    <x v="9"/>
    <d v="2022-05-31T00:00:00"/>
    <x v="0"/>
    <x v="7"/>
    <n v="4795"/>
    <n v="233"/>
  </r>
  <r>
    <x v="23"/>
    <x v="0"/>
    <x v="4"/>
    <d v="2022-01-03T00:00:00"/>
    <x v="1"/>
    <x v="0"/>
    <n v="9310"/>
    <n v="282"/>
  </r>
  <r>
    <x v="15"/>
    <x v="3"/>
    <x v="20"/>
    <d v="2022-01-27T00:00:00"/>
    <x v="2"/>
    <x v="0"/>
    <n v="497"/>
    <n v="475"/>
  </r>
  <r>
    <x v="8"/>
    <x v="0"/>
    <x v="6"/>
    <d v="2022-01-28T00:00:00"/>
    <x v="4"/>
    <x v="0"/>
    <n v="581"/>
    <n v="65"/>
  </r>
  <r>
    <x v="14"/>
    <x v="2"/>
    <x v="10"/>
    <d v="2022-06-28T00:00:00"/>
    <x v="0"/>
    <x v="5"/>
    <n v="3472"/>
    <n v="311"/>
  </r>
  <r>
    <x v="15"/>
    <x v="0"/>
    <x v="18"/>
    <d v="2022-03-02T00:00:00"/>
    <x v="3"/>
    <x v="6"/>
    <n v="4333"/>
    <n v="43"/>
  </r>
  <r>
    <x v="18"/>
    <x v="2"/>
    <x v="5"/>
    <d v="2022-05-27T00:00:00"/>
    <x v="4"/>
    <x v="7"/>
    <n v="3325"/>
    <n v="26"/>
  </r>
  <r>
    <x v="17"/>
    <x v="4"/>
    <x v="16"/>
    <d v="2022-06-30T00:00:00"/>
    <x v="2"/>
    <x v="5"/>
    <n v="11718"/>
    <n v="84"/>
  </r>
  <r>
    <x v="8"/>
    <x v="5"/>
    <x v="2"/>
    <d v="2022-06-07T00:00:00"/>
    <x v="0"/>
    <x v="5"/>
    <n v="2100"/>
    <n v="78"/>
  </r>
  <r>
    <x v="16"/>
    <x v="4"/>
    <x v="21"/>
    <d v="2022-05-12T00:00:00"/>
    <x v="2"/>
    <x v="7"/>
    <n v="4018"/>
    <n v="100"/>
  </r>
  <r>
    <x v="8"/>
    <x v="3"/>
    <x v="17"/>
    <d v="2022-07-29T00:00:00"/>
    <x v="4"/>
    <x v="2"/>
    <n v="6468"/>
    <n v="66"/>
  </r>
  <r>
    <x v="17"/>
    <x v="0"/>
    <x v="14"/>
    <d v="2022-08-03T00:00:00"/>
    <x v="3"/>
    <x v="1"/>
    <n v="7238"/>
    <n v="265"/>
  </r>
  <r>
    <x v="8"/>
    <x v="1"/>
    <x v="19"/>
    <d v="2022-08-18T00:00:00"/>
    <x v="2"/>
    <x v="1"/>
    <n v="6454"/>
    <n v="141"/>
  </r>
  <r>
    <x v="1"/>
    <x v="3"/>
    <x v="3"/>
    <d v="2022-06-14T00:00:00"/>
    <x v="0"/>
    <x v="5"/>
    <n v="3115"/>
    <n v="42"/>
  </r>
  <r>
    <x v="12"/>
    <x v="0"/>
    <x v="14"/>
    <d v="2022-06-30T00:00:00"/>
    <x v="2"/>
    <x v="5"/>
    <n v="6475"/>
    <n v="76"/>
  </r>
  <r>
    <x v="21"/>
    <x v="3"/>
    <x v="0"/>
    <d v="2022-06-13T00:00:00"/>
    <x v="1"/>
    <x v="5"/>
    <n v="1162"/>
    <n v="190"/>
  </r>
  <r>
    <x v="24"/>
    <x v="0"/>
    <x v="7"/>
    <d v="2022-04-27T00:00:00"/>
    <x v="3"/>
    <x v="3"/>
    <n v="14238"/>
    <n v="54"/>
  </r>
  <r>
    <x v="3"/>
    <x v="2"/>
    <x v="14"/>
    <d v="2022-07-27T00:00:00"/>
    <x v="3"/>
    <x v="2"/>
    <n v="3472"/>
    <n v="32"/>
  </r>
  <r>
    <x v="9"/>
    <x v="5"/>
    <x v="1"/>
    <d v="2022-04-20T00:00:00"/>
    <x v="3"/>
    <x v="3"/>
    <n v="1428"/>
    <n v="424"/>
  </r>
  <r>
    <x v="7"/>
    <x v="1"/>
    <x v="12"/>
    <d v="2022-01-04T00:00:00"/>
    <x v="0"/>
    <x v="0"/>
    <n v="8064"/>
    <n v="134"/>
  </r>
  <r>
    <x v="24"/>
    <x v="2"/>
    <x v="0"/>
    <d v="2022-02-21T00:00:00"/>
    <x v="1"/>
    <x v="4"/>
    <n v="9660"/>
    <n v="92"/>
  </r>
  <r>
    <x v="10"/>
    <x v="2"/>
    <x v="14"/>
    <d v="2022-01-05T00:00:00"/>
    <x v="3"/>
    <x v="0"/>
    <n v="7357"/>
    <n v="48"/>
  </r>
  <r>
    <x v="12"/>
    <x v="1"/>
    <x v="9"/>
    <d v="2022-07-15T00:00:00"/>
    <x v="4"/>
    <x v="2"/>
    <n v="6055"/>
    <n v="46"/>
  </r>
  <r>
    <x v="6"/>
    <x v="2"/>
    <x v="18"/>
    <d v="2022-05-25T00:00:00"/>
    <x v="3"/>
    <x v="7"/>
    <n v="5124"/>
    <n v="62"/>
  </r>
  <r>
    <x v="10"/>
    <x v="5"/>
    <x v="8"/>
    <d v="2022-04-20T00:00:00"/>
    <x v="3"/>
    <x v="3"/>
    <n v="3479"/>
    <n v="358"/>
  </r>
  <r>
    <x v="2"/>
    <x v="4"/>
    <x v="4"/>
    <d v="2022-06-02T00:00:00"/>
    <x v="2"/>
    <x v="5"/>
    <n v="784"/>
    <n v="249"/>
  </r>
  <r>
    <x v="11"/>
    <x v="0"/>
    <x v="3"/>
    <d v="2022-05-13T00:00:00"/>
    <x v="4"/>
    <x v="7"/>
    <n v="18991"/>
    <n v="88"/>
  </r>
  <r>
    <x v="12"/>
    <x v="3"/>
    <x v="19"/>
    <d v="2022-08-03T00:00:00"/>
    <x v="3"/>
    <x v="1"/>
    <n v="1372"/>
    <n v="144"/>
  </r>
  <r>
    <x v="12"/>
    <x v="2"/>
    <x v="11"/>
    <d v="2022-05-25T00:00:00"/>
    <x v="3"/>
    <x v="7"/>
    <n v="735"/>
    <n v="390"/>
  </r>
  <r>
    <x v="1"/>
    <x v="0"/>
    <x v="17"/>
    <d v="2022-03-16T00:00:00"/>
    <x v="3"/>
    <x v="6"/>
    <n v="6538"/>
    <n v="79"/>
  </r>
  <r>
    <x v="3"/>
    <x v="2"/>
    <x v="7"/>
    <d v="2022-07-04T00:00:00"/>
    <x v="1"/>
    <x v="2"/>
    <n v="3199"/>
    <n v="122"/>
  </r>
  <r>
    <x v="0"/>
    <x v="1"/>
    <x v="6"/>
    <d v="2022-07-05T00:00:00"/>
    <x v="0"/>
    <x v="2"/>
    <n v="3472"/>
    <n v="135"/>
  </r>
  <r>
    <x v="22"/>
    <x v="4"/>
    <x v="5"/>
    <d v="2022-03-15T00:00:00"/>
    <x v="0"/>
    <x v="6"/>
    <n v="4571"/>
    <n v="430"/>
  </r>
  <r>
    <x v="8"/>
    <x v="0"/>
    <x v="17"/>
    <d v="2022-08-22T00:00:00"/>
    <x v="1"/>
    <x v="1"/>
    <n v="5481"/>
    <n v="69"/>
  </r>
  <r>
    <x v="24"/>
    <x v="2"/>
    <x v="21"/>
    <d v="2022-01-12T00:00:00"/>
    <x v="3"/>
    <x v="0"/>
    <n v="3136"/>
    <n v="125"/>
  </r>
  <r>
    <x v="11"/>
    <x v="0"/>
    <x v="19"/>
    <d v="2022-06-10T00:00:00"/>
    <x v="4"/>
    <x v="5"/>
    <n v="252"/>
    <n v="154"/>
  </r>
  <r>
    <x v="16"/>
    <x v="2"/>
    <x v="2"/>
    <d v="2022-03-25T00:00:00"/>
    <x v="4"/>
    <x v="6"/>
    <n v="5460"/>
    <n v="286"/>
  </r>
  <r>
    <x v="7"/>
    <x v="1"/>
    <x v="16"/>
    <d v="2022-07-27T00:00:00"/>
    <x v="3"/>
    <x v="2"/>
    <n v="3395"/>
    <n v="99"/>
  </r>
  <r>
    <x v="15"/>
    <x v="0"/>
    <x v="20"/>
    <d v="2022-04-15T00:00:00"/>
    <x v="4"/>
    <x v="3"/>
    <n v="14938"/>
    <n v="433"/>
  </r>
  <r>
    <x v="13"/>
    <x v="1"/>
    <x v="7"/>
    <d v="2022-06-27T00:00:00"/>
    <x v="1"/>
    <x v="5"/>
    <n v="4053"/>
    <n v="19"/>
  </r>
  <r>
    <x v="0"/>
    <x v="0"/>
    <x v="21"/>
    <d v="2022-04-14T00:00:00"/>
    <x v="2"/>
    <x v="3"/>
    <n v="5565"/>
    <n v="258"/>
  </r>
  <r>
    <x v="15"/>
    <x v="2"/>
    <x v="15"/>
    <d v="2022-03-15T00:00:00"/>
    <x v="0"/>
    <x v="6"/>
    <n v="7161"/>
    <n v="92"/>
  </r>
  <r>
    <x v="22"/>
    <x v="4"/>
    <x v="8"/>
    <d v="2022-03-18T00:00:00"/>
    <x v="4"/>
    <x v="6"/>
    <n v="8883"/>
    <n v="200"/>
  </r>
  <r>
    <x v="6"/>
    <x v="1"/>
    <x v="8"/>
    <d v="2022-04-29T00:00:00"/>
    <x v="4"/>
    <x v="3"/>
    <n v="1351"/>
    <n v="61"/>
  </r>
  <r>
    <x v="9"/>
    <x v="3"/>
    <x v="14"/>
    <d v="2022-02-25T00:00:00"/>
    <x v="4"/>
    <x v="4"/>
    <n v="3171"/>
    <n v="246"/>
  </r>
  <r>
    <x v="15"/>
    <x v="4"/>
    <x v="11"/>
    <d v="2022-03-02T00:00:00"/>
    <x v="3"/>
    <x v="6"/>
    <n v="854"/>
    <n v="56"/>
  </r>
  <r>
    <x v="1"/>
    <x v="2"/>
    <x v="11"/>
    <d v="2022-06-20T00:00:00"/>
    <x v="1"/>
    <x v="5"/>
    <n v="7910"/>
    <n v="87"/>
  </r>
  <r>
    <x v="12"/>
    <x v="5"/>
    <x v="14"/>
    <d v="2022-07-15T00:00:00"/>
    <x v="4"/>
    <x v="2"/>
    <n v="9275"/>
    <n v="173"/>
  </r>
  <r>
    <x v="23"/>
    <x v="2"/>
    <x v="6"/>
    <d v="2022-05-12T00:00:00"/>
    <x v="2"/>
    <x v="7"/>
    <n v="3108"/>
    <n v="252"/>
  </r>
  <r>
    <x v="9"/>
    <x v="3"/>
    <x v="10"/>
    <d v="2022-07-01T00:00:00"/>
    <x v="4"/>
    <x v="2"/>
    <n v="5075"/>
    <n v="256"/>
  </r>
  <r>
    <x v="15"/>
    <x v="4"/>
    <x v="1"/>
    <d v="2022-08-08T00:00:00"/>
    <x v="1"/>
    <x v="1"/>
    <n v="378"/>
    <n v="54"/>
  </r>
  <r>
    <x v="22"/>
    <x v="2"/>
    <x v="6"/>
    <d v="2022-07-25T00:00:00"/>
    <x v="1"/>
    <x v="2"/>
    <n v="7350"/>
    <n v="6"/>
  </r>
  <r>
    <x v="18"/>
    <x v="0"/>
    <x v="9"/>
    <d v="2022-05-18T00:00:00"/>
    <x v="3"/>
    <x v="7"/>
    <n v="3388"/>
    <n v="55"/>
  </r>
  <r>
    <x v="21"/>
    <x v="1"/>
    <x v="2"/>
    <d v="2022-07-15T00:00:00"/>
    <x v="4"/>
    <x v="2"/>
    <n v="11837"/>
    <n v="277"/>
  </r>
  <r>
    <x v="14"/>
    <x v="1"/>
    <x v="21"/>
    <d v="2022-07-05T00:00:00"/>
    <x v="0"/>
    <x v="2"/>
    <n v="2282"/>
    <n v="44"/>
  </r>
  <r>
    <x v="9"/>
    <x v="4"/>
    <x v="15"/>
    <d v="2022-07-04T00:00:00"/>
    <x v="1"/>
    <x v="2"/>
    <n v="5425"/>
    <n v="96"/>
  </r>
  <r>
    <x v="23"/>
    <x v="0"/>
    <x v="21"/>
    <d v="2022-06-20T00:00:00"/>
    <x v="1"/>
    <x v="5"/>
    <n v="1267"/>
    <n v="216"/>
  </r>
  <r>
    <x v="5"/>
    <x v="2"/>
    <x v="16"/>
    <d v="2022-01-25T00:00:00"/>
    <x v="0"/>
    <x v="0"/>
    <n v="3752"/>
    <n v="424"/>
  </r>
  <r>
    <x v="16"/>
    <x v="3"/>
    <x v="12"/>
    <d v="2022-07-01T00:00:00"/>
    <x v="4"/>
    <x v="2"/>
    <n v="7728"/>
    <n v="37"/>
  </r>
  <r>
    <x v="2"/>
    <x v="4"/>
    <x v="6"/>
    <d v="2022-04-13T00:00:00"/>
    <x v="3"/>
    <x v="3"/>
    <n v="2296"/>
    <n v="59"/>
  </r>
  <r>
    <x v="12"/>
    <x v="0"/>
    <x v="3"/>
    <d v="2022-05-04T00:00:00"/>
    <x v="3"/>
    <x v="7"/>
    <n v="4403"/>
    <n v="76"/>
  </r>
  <r>
    <x v="12"/>
    <x v="2"/>
    <x v="19"/>
    <d v="2022-08-04T00:00:00"/>
    <x v="2"/>
    <x v="1"/>
    <n v="3192"/>
    <n v="109"/>
  </r>
  <r>
    <x v="12"/>
    <x v="1"/>
    <x v="21"/>
    <d v="2022-06-01T00:00:00"/>
    <x v="3"/>
    <x v="5"/>
    <n v="448"/>
    <n v="146"/>
  </r>
  <r>
    <x v="0"/>
    <x v="0"/>
    <x v="18"/>
    <d v="2022-04-22T00:00:00"/>
    <x v="4"/>
    <x v="3"/>
    <n v="4270"/>
    <n v="185"/>
  </r>
  <r>
    <x v="16"/>
    <x v="4"/>
    <x v="6"/>
    <d v="2022-08-03T00:00:00"/>
    <x v="3"/>
    <x v="1"/>
    <n v="70"/>
    <n v="27"/>
  </r>
  <r>
    <x v="24"/>
    <x v="4"/>
    <x v="7"/>
    <d v="2022-06-10T00:00:00"/>
    <x v="4"/>
    <x v="5"/>
    <n v="1743"/>
    <n v="69"/>
  </r>
  <r>
    <x v="5"/>
    <x v="0"/>
    <x v="15"/>
    <d v="2022-06-27T00:00:00"/>
    <x v="1"/>
    <x v="5"/>
    <n v="6762"/>
    <n v="46"/>
  </r>
  <r>
    <x v="11"/>
    <x v="2"/>
    <x v="3"/>
    <d v="2022-01-03T00:00:00"/>
    <x v="1"/>
    <x v="0"/>
    <n v="3745"/>
    <n v="170"/>
  </r>
  <r>
    <x v="11"/>
    <x v="1"/>
    <x v="5"/>
    <d v="2022-07-11T00:00:00"/>
    <x v="1"/>
    <x v="2"/>
    <n v="2639"/>
    <n v="179"/>
  </r>
  <r>
    <x v="24"/>
    <x v="3"/>
    <x v="11"/>
    <d v="2022-08-17T00:00:00"/>
    <x v="3"/>
    <x v="1"/>
    <n v="4389"/>
    <n v="126"/>
  </r>
  <r>
    <x v="7"/>
    <x v="4"/>
    <x v="13"/>
    <d v="2022-01-18T00:00:00"/>
    <x v="0"/>
    <x v="0"/>
    <n v="2604"/>
    <n v="65"/>
  </r>
  <r>
    <x v="24"/>
    <x v="1"/>
    <x v="10"/>
    <d v="2022-03-08T00:00:00"/>
    <x v="0"/>
    <x v="6"/>
    <n v="16569"/>
    <n v="99"/>
  </r>
  <r>
    <x v="9"/>
    <x v="2"/>
    <x v="7"/>
    <d v="2022-03-07T00:00:00"/>
    <x v="1"/>
    <x v="6"/>
    <n v="14658"/>
    <n v="275"/>
  </r>
  <r>
    <x v="15"/>
    <x v="1"/>
    <x v="21"/>
    <d v="2022-05-09T00:00:00"/>
    <x v="1"/>
    <x v="7"/>
    <n v="6454"/>
    <n v="157"/>
  </r>
  <r>
    <x v="8"/>
    <x v="3"/>
    <x v="1"/>
    <d v="2022-05-23T00:00:00"/>
    <x v="1"/>
    <x v="7"/>
    <n v="2100"/>
    <n v="157"/>
  </r>
  <r>
    <x v="22"/>
    <x v="0"/>
    <x v="20"/>
    <d v="2022-04-15T00:00:00"/>
    <x v="4"/>
    <x v="3"/>
    <n v="161"/>
    <n v="145"/>
  </r>
  <r>
    <x v="2"/>
    <x v="2"/>
    <x v="9"/>
    <d v="2022-07-27T00:00:00"/>
    <x v="3"/>
    <x v="2"/>
    <n v="2807"/>
    <n v="139"/>
  </r>
  <r>
    <x v="11"/>
    <x v="5"/>
    <x v="18"/>
    <d v="2022-08-22T00:00:00"/>
    <x v="1"/>
    <x v="1"/>
    <n v="2639"/>
    <n v="406"/>
  </r>
  <r>
    <x v="24"/>
    <x v="4"/>
    <x v="21"/>
    <d v="2022-05-11T00:00:00"/>
    <x v="3"/>
    <x v="7"/>
    <n v="4571"/>
    <n v="122"/>
  </r>
  <r>
    <x v="22"/>
    <x v="1"/>
    <x v="10"/>
    <d v="2022-01-26T00:00:00"/>
    <x v="3"/>
    <x v="0"/>
    <n v="4781"/>
    <n v="38"/>
  </r>
  <r>
    <x v="8"/>
    <x v="4"/>
    <x v="6"/>
    <d v="2022-04-14T00:00:00"/>
    <x v="2"/>
    <x v="3"/>
    <n v="13034"/>
    <n v="117"/>
  </r>
  <r>
    <x v="17"/>
    <x v="3"/>
    <x v="0"/>
    <d v="2022-04-05T00:00:00"/>
    <x v="0"/>
    <x v="3"/>
    <n v="6454"/>
    <n v="417"/>
  </r>
  <r>
    <x v="11"/>
    <x v="3"/>
    <x v="3"/>
    <d v="2022-06-14T00:00:00"/>
    <x v="0"/>
    <x v="5"/>
    <n v="8484"/>
    <n v="57"/>
  </r>
  <r>
    <x v="6"/>
    <x v="5"/>
    <x v="16"/>
    <d v="2022-04-13T00:00:00"/>
    <x v="3"/>
    <x v="3"/>
    <n v="4781"/>
    <n v="125"/>
  </r>
  <r>
    <x v="12"/>
    <x v="2"/>
    <x v="14"/>
    <d v="2022-06-27T00:00:00"/>
    <x v="1"/>
    <x v="5"/>
    <n v="2240"/>
    <n v="166"/>
  </r>
  <r>
    <x v="23"/>
    <x v="2"/>
    <x v="8"/>
    <d v="2022-01-26T00:00:00"/>
    <x v="3"/>
    <x v="0"/>
    <n v="6979"/>
    <n v="3"/>
  </r>
  <r>
    <x v="8"/>
    <x v="0"/>
    <x v="14"/>
    <d v="2022-07-05T00:00:00"/>
    <x v="0"/>
    <x v="2"/>
    <n v="1652"/>
    <n v="72"/>
  </r>
  <r>
    <x v="12"/>
    <x v="5"/>
    <x v="19"/>
    <d v="2022-01-11T00:00:00"/>
    <x v="0"/>
    <x v="0"/>
    <n v="13447"/>
    <n v="95"/>
  </r>
  <r>
    <x v="20"/>
    <x v="4"/>
    <x v="14"/>
    <d v="2022-03-07T00:00:00"/>
    <x v="1"/>
    <x v="6"/>
    <n v="9422"/>
    <n v="22"/>
  </r>
  <r>
    <x v="16"/>
    <x v="5"/>
    <x v="6"/>
    <d v="2022-03-04T00:00:00"/>
    <x v="4"/>
    <x v="6"/>
    <n v="8687"/>
    <n v="100"/>
  </r>
  <r>
    <x v="10"/>
    <x v="5"/>
    <x v="10"/>
    <d v="2022-07-15T00:00:00"/>
    <x v="4"/>
    <x v="2"/>
    <n v="2415"/>
    <n v="312"/>
  </r>
  <r>
    <x v="16"/>
    <x v="0"/>
    <x v="2"/>
    <d v="2022-05-11T00:00:00"/>
    <x v="3"/>
    <x v="7"/>
    <n v="6272"/>
    <n v="86"/>
  </r>
  <r>
    <x v="10"/>
    <x v="4"/>
    <x v="11"/>
    <d v="2022-01-27T00:00:00"/>
    <x v="2"/>
    <x v="0"/>
    <n v="4389"/>
    <n v="7"/>
  </r>
  <r>
    <x v="10"/>
    <x v="1"/>
    <x v="7"/>
    <d v="2022-06-27T00:00:00"/>
    <x v="1"/>
    <x v="5"/>
    <n v="3122"/>
    <n v="149"/>
  </r>
  <r>
    <x v="24"/>
    <x v="1"/>
    <x v="3"/>
    <d v="2022-08-03T00:00:00"/>
    <x v="3"/>
    <x v="1"/>
    <n v="8043"/>
    <n v="18"/>
  </r>
  <r>
    <x v="18"/>
    <x v="3"/>
    <x v="0"/>
    <d v="2022-08-19T00:00:00"/>
    <x v="4"/>
    <x v="1"/>
    <n v="11662"/>
    <n v="242"/>
  </r>
  <r>
    <x v="18"/>
    <x v="2"/>
    <x v="13"/>
    <d v="2022-06-15T00:00:00"/>
    <x v="3"/>
    <x v="5"/>
    <n v="392"/>
    <n v="102"/>
  </r>
  <r>
    <x v="17"/>
    <x v="0"/>
    <x v="2"/>
    <d v="2022-02-07T00:00:00"/>
    <x v="1"/>
    <x v="4"/>
    <n v="8925"/>
    <n v="158"/>
  </r>
  <r>
    <x v="10"/>
    <x v="2"/>
    <x v="16"/>
    <d v="2022-07-08T00:00:00"/>
    <x v="4"/>
    <x v="2"/>
    <n v="7294"/>
    <n v="128"/>
  </r>
  <r>
    <x v="17"/>
    <x v="1"/>
    <x v="11"/>
    <d v="2022-04-21T00:00:00"/>
    <x v="2"/>
    <x v="3"/>
    <n v="1526"/>
    <n v="96"/>
  </r>
  <r>
    <x v="24"/>
    <x v="0"/>
    <x v="0"/>
    <d v="2022-04-08T00:00:00"/>
    <x v="4"/>
    <x v="3"/>
    <n v="2688"/>
    <n v="209"/>
  </r>
  <r>
    <x v="15"/>
    <x v="2"/>
    <x v="6"/>
    <d v="2022-08-19T00:00:00"/>
    <x v="4"/>
    <x v="1"/>
    <n v="14889"/>
    <n v="52"/>
  </r>
  <r>
    <x v="3"/>
    <x v="1"/>
    <x v="13"/>
    <d v="2022-05-04T00:00:00"/>
    <x v="3"/>
    <x v="7"/>
    <n v="2912"/>
    <n v="55"/>
  </r>
  <r>
    <x v="9"/>
    <x v="4"/>
    <x v="1"/>
    <d v="2022-05-11T00:00:00"/>
    <x v="3"/>
    <x v="7"/>
    <n v="2632"/>
    <n v="108"/>
  </r>
  <r>
    <x v="9"/>
    <x v="4"/>
    <x v="8"/>
    <d v="2022-03-22T00:00:00"/>
    <x v="0"/>
    <x v="6"/>
    <n v="6328"/>
    <n v="51"/>
  </r>
  <r>
    <x v="17"/>
    <x v="5"/>
    <x v="12"/>
    <d v="2022-08-10T00:00:00"/>
    <x v="3"/>
    <x v="1"/>
    <n v="2527"/>
    <n v="216"/>
  </r>
  <r>
    <x v="17"/>
    <x v="4"/>
    <x v="13"/>
    <d v="2022-05-04T00:00:00"/>
    <x v="3"/>
    <x v="7"/>
    <n v="1414"/>
    <n v="318"/>
  </r>
  <r>
    <x v="20"/>
    <x v="4"/>
    <x v="4"/>
    <d v="2022-08-18T00:00:00"/>
    <x v="2"/>
    <x v="1"/>
    <n v="7714"/>
    <n v="238"/>
  </r>
  <r>
    <x v="23"/>
    <x v="5"/>
    <x v="17"/>
    <d v="2022-08-03T00:00:00"/>
    <x v="3"/>
    <x v="1"/>
    <n v="4347"/>
    <n v="238"/>
  </r>
  <r>
    <x v="11"/>
    <x v="3"/>
    <x v="11"/>
    <d v="2022-01-14T00:00:00"/>
    <x v="4"/>
    <x v="0"/>
    <n v="7490"/>
    <n v="315"/>
  </r>
  <r>
    <x v="22"/>
    <x v="2"/>
    <x v="18"/>
    <d v="2022-04-08T00:00:00"/>
    <x v="4"/>
    <x v="3"/>
    <n v="2058"/>
    <n v="72"/>
  </r>
  <r>
    <x v="20"/>
    <x v="0"/>
    <x v="7"/>
    <d v="2022-08-01T00:00:00"/>
    <x v="1"/>
    <x v="1"/>
    <n v="3640"/>
    <n v="3"/>
  </r>
  <r>
    <x v="17"/>
    <x v="5"/>
    <x v="8"/>
    <d v="2022-03-15T00:00:00"/>
    <x v="0"/>
    <x v="6"/>
    <n v="455"/>
    <n v="45"/>
  </r>
  <r>
    <x v="10"/>
    <x v="1"/>
    <x v="0"/>
    <d v="2022-07-15T00:00:00"/>
    <x v="4"/>
    <x v="2"/>
    <n v="10990"/>
    <n v="184"/>
  </r>
  <r>
    <x v="8"/>
    <x v="3"/>
    <x v="16"/>
    <d v="2022-01-13T00:00:00"/>
    <x v="2"/>
    <x v="0"/>
    <n v="5558"/>
    <n v="127"/>
  </r>
  <r>
    <x v="9"/>
    <x v="2"/>
    <x v="1"/>
    <d v="2022-08-26T00:00:00"/>
    <x v="4"/>
    <x v="1"/>
    <n v="2541"/>
    <n v="53"/>
  </r>
  <r>
    <x v="24"/>
    <x v="5"/>
    <x v="8"/>
    <d v="2022-01-10T00:00:00"/>
    <x v="1"/>
    <x v="0"/>
    <n v="1876"/>
    <n v="172"/>
  </r>
  <r>
    <x v="2"/>
    <x v="2"/>
    <x v="14"/>
    <d v="2022-05-11T00:00:00"/>
    <x v="3"/>
    <x v="7"/>
    <n v="5523"/>
    <n v="87"/>
  </r>
  <r>
    <x v="12"/>
    <x v="3"/>
    <x v="1"/>
    <d v="2022-08-30T00:00:00"/>
    <x v="0"/>
    <x v="1"/>
    <n v="11200"/>
    <n v="22"/>
  </r>
  <r>
    <x v="16"/>
    <x v="4"/>
    <x v="20"/>
    <d v="2022-07-21T00:00:00"/>
    <x v="2"/>
    <x v="2"/>
    <n v="5593"/>
    <n v="122"/>
  </r>
  <r>
    <x v="9"/>
    <x v="2"/>
    <x v="16"/>
    <d v="2022-08-01T00:00:00"/>
    <x v="1"/>
    <x v="1"/>
    <n v="7882"/>
    <n v="125"/>
  </r>
  <r>
    <x v="6"/>
    <x v="5"/>
    <x v="1"/>
    <d v="2022-02-17T00:00:00"/>
    <x v="2"/>
    <x v="4"/>
    <n v="10241"/>
    <n v="259"/>
  </r>
  <r>
    <x v="6"/>
    <x v="2"/>
    <x v="9"/>
    <d v="2022-07-27T00:00:00"/>
    <x v="3"/>
    <x v="2"/>
    <n v="6832"/>
    <n v="156"/>
  </r>
  <r>
    <x v="23"/>
    <x v="4"/>
    <x v="7"/>
    <d v="2022-02-23T00:00:00"/>
    <x v="3"/>
    <x v="4"/>
    <n v="1379"/>
    <n v="107"/>
  </r>
  <r>
    <x v="7"/>
    <x v="2"/>
    <x v="6"/>
    <d v="2022-03-22T00:00:00"/>
    <x v="0"/>
    <x v="6"/>
    <n v="3010"/>
    <n v="40"/>
  </r>
  <r>
    <x v="17"/>
    <x v="1"/>
    <x v="4"/>
    <d v="2022-06-23T00:00:00"/>
    <x v="2"/>
    <x v="5"/>
    <n v="6888"/>
    <n v="311"/>
  </r>
  <r>
    <x v="14"/>
    <x v="0"/>
    <x v="14"/>
    <d v="2022-02-01T00:00:00"/>
    <x v="0"/>
    <x v="4"/>
    <n v="1540"/>
    <n v="73"/>
  </r>
  <r>
    <x v="20"/>
    <x v="2"/>
    <x v="5"/>
    <d v="2022-03-02T00:00:00"/>
    <x v="3"/>
    <x v="6"/>
    <n v="6916"/>
    <n v="288"/>
  </r>
  <r>
    <x v="2"/>
    <x v="0"/>
    <x v="13"/>
    <d v="2022-04-06T00:00:00"/>
    <x v="3"/>
    <x v="3"/>
    <n v="1232"/>
    <n v="86"/>
  </r>
  <r>
    <x v="5"/>
    <x v="2"/>
    <x v="17"/>
    <d v="2022-03-17T00:00:00"/>
    <x v="2"/>
    <x v="6"/>
    <n v="602"/>
    <n v="72"/>
  </r>
  <r>
    <x v="14"/>
    <x v="0"/>
    <x v="13"/>
    <d v="2022-06-24T00:00:00"/>
    <x v="4"/>
    <x v="5"/>
    <n v="10927"/>
    <n v="136"/>
  </r>
  <r>
    <x v="8"/>
    <x v="5"/>
    <x v="6"/>
    <d v="2022-07-19T00:00:00"/>
    <x v="0"/>
    <x v="2"/>
    <n v="10185"/>
    <n v="303"/>
  </r>
  <r>
    <x v="14"/>
    <x v="4"/>
    <x v="12"/>
    <d v="2022-07-11T00:00:00"/>
    <x v="1"/>
    <x v="2"/>
    <n v="1603"/>
    <n v="264"/>
  </r>
  <r>
    <x v="6"/>
    <x v="1"/>
    <x v="16"/>
    <d v="2022-01-13T00:00:00"/>
    <x v="2"/>
    <x v="0"/>
    <n v="2170"/>
    <n v="218"/>
  </r>
  <r>
    <x v="4"/>
    <x v="3"/>
    <x v="3"/>
    <d v="2022-07-07T00:00:00"/>
    <x v="2"/>
    <x v="2"/>
    <n v="8673"/>
    <n v="60"/>
  </r>
  <r>
    <x v="3"/>
    <x v="1"/>
    <x v="1"/>
    <d v="2022-05-25T00:00:00"/>
    <x v="3"/>
    <x v="7"/>
    <n v="4760"/>
    <n v="418"/>
  </r>
  <r>
    <x v="11"/>
    <x v="1"/>
    <x v="13"/>
    <d v="2022-04-13T00:00:00"/>
    <x v="3"/>
    <x v="3"/>
    <n v="4753"/>
    <n v="151"/>
  </r>
  <r>
    <x v="19"/>
    <x v="3"/>
    <x v="6"/>
    <d v="2022-03-02T00:00:00"/>
    <x v="3"/>
    <x v="6"/>
    <n v="3374"/>
    <n v="202"/>
  </r>
  <r>
    <x v="5"/>
    <x v="5"/>
    <x v="17"/>
    <d v="2022-06-23T00:00:00"/>
    <x v="2"/>
    <x v="5"/>
    <n v="2058"/>
    <n v="126"/>
  </r>
  <r>
    <x v="20"/>
    <x v="4"/>
    <x v="9"/>
    <d v="2022-07-26T00:00:00"/>
    <x v="0"/>
    <x v="2"/>
    <n v="6454"/>
    <n v="160"/>
  </r>
  <r>
    <x v="1"/>
    <x v="5"/>
    <x v="14"/>
    <d v="2022-03-22T00:00:00"/>
    <x v="0"/>
    <x v="6"/>
    <n v="420"/>
    <n v="3"/>
  </r>
  <r>
    <x v="7"/>
    <x v="4"/>
    <x v="19"/>
    <d v="2022-06-09T00:00:00"/>
    <x v="2"/>
    <x v="5"/>
    <n v="2863"/>
    <n v="58"/>
  </r>
  <r>
    <x v="1"/>
    <x v="2"/>
    <x v="20"/>
    <d v="2022-05-17T00:00:00"/>
    <x v="0"/>
    <x v="7"/>
    <n v="5936"/>
    <n v="59"/>
  </r>
  <r>
    <x v="24"/>
    <x v="3"/>
    <x v="2"/>
    <d v="2022-03-04T00:00:00"/>
    <x v="4"/>
    <x v="6"/>
    <n v="889"/>
    <n v="273"/>
  </r>
  <r>
    <x v="20"/>
    <x v="5"/>
    <x v="11"/>
    <d v="2022-07-07T00:00:00"/>
    <x v="2"/>
    <x v="2"/>
    <n v="16016"/>
    <n v="28"/>
  </r>
  <r>
    <x v="17"/>
    <x v="5"/>
    <x v="18"/>
    <d v="2022-01-13T00:00:00"/>
    <x v="2"/>
    <x v="0"/>
    <n v="10479"/>
    <n v="118"/>
  </r>
  <r>
    <x v="14"/>
    <x v="2"/>
    <x v="16"/>
    <d v="2022-07-13T00:00:00"/>
    <x v="3"/>
    <x v="2"/>
    <n v="2912"/>
    <n v="75"/>
  </r>
  <r>
    <x v="22"/>
    <x v="2"/>
    <x v="1"/>
    <d v="2022-06-16T00:00:00"/>
    <x v="2"/>
    <x v="5"/>
    <n v="1575"/>
    <n v="329"/>
  </r>
  <r>
    <x v="2"/>
    <x v="0"/>
    <x v="6"/>
    <d v="2022-07-18T00:00:00"/>
    <x v="1"/>
    <x v="2"/>
    <n v="8197"/>
    <n v="69"/>
  </r>
  <r>
    <x v="24"/>
    <x v="0"/>
    <x v="15"/>
    <d v="2022-05-30T00:00:00"/>
    <x v="1"/>
    <x v="7"/>
    <n v="4221"/>
    <n v="395"/>
  </r>
  <r>
    <x v="2"/>
    <x v="0"/>
    <x v="21"/>
    <d v="2022-06-21T00:00:00"/>
    <x v="0"/>
    <x v="5"/>
    <n v="840"/>
    <n v="81"/>
  </r>
  <r>
    <x v="0"/>
    <x v="2"/>
    <x v="2"/>
    <d v="2022-06-24T00:00:00"/>
    <x v="4"/>
    <x v="5"/>
    <n v="5691"/>
    <n v="38"/>
  </r>
  <r>
    <x v="11"/>
    <x v="1"/>
    <x v="8"/>
    <d v="2022-01-13T00:00:00"/>
    <x v="2"/>
    <x v="0"/>
    <n v="3472"/>
    <n v="96"/>
  </r>
  <r>
    <x v="14"/>
    <x v="5"/>
    <x v="13"/>
    <d v="2022-04-04T00:00:00"/>
    <x v="1"/>
    <x v="3"/>
    <n v="4193"/>
    <n v="195"/>
  </r>
  <r>
    <x v="16"/>
    <x v="0"/>
    <x v="3"/>
    <d v="2022-06-08T00:00:00"/>
    <x v="3"/>
    <x v="5"/>
    <n v="9016"/>
    <n v="554"/>
  </r>
  <r>
    <x v="10"/>
    <x v="5"/>
    <x v="12"/>
    <d v="2022-08-02T00:00:00"/>
    <x v="0"/>
    <x v="1"/>
    <n v="6328"/>
    <n v="47"/>
  </r>
  <r>
    <x v="20"/>
    <x v="4"/>
    <x v="10"/>
    <d v="2022-07-21T00:00:00"/>
    <x v="2"/>
    <x v="2"/>
    <n v="9870"/>
    <n v="152"/>
  </r>
  <r>
    <x v="14"/>
    <x v="1"/>
    <x v="12"/>
    <d v="2022-06-20T00:00:00"/>
    <x v="1"/>
    <x v="5"/>
    <n v="161"/>
    <n v="134"/>
  </r>
  <r>
    <x v="13"/>
    <x v="1"/>
    <x v="5"/>
    <d v="2022-06-22T00:00:00"/>
    <x v="3"/>
    <x v="5"/>
    <n v="2576"/>
    <n v="112"/>
  </r>
  <r>
    <x v="21"/>
    <x v="2"/>
    <x v="20"/>
    <d v="2022-05-02T00:00:00"/>
    <x v="1"/>
    <x v="7"/>
    <n v="3178"/>
    <n v="16"/>
  </r>
  <r>
    <x v="14"/>
    <x v="2"/>
    <x v="4"/>
    <d v="2022-01-07T00:00:00"/>
    <x v="4"/>
    <x v="0"/>
    <n v="4676"/>
    <n v="84"/>
  </r>
  <r>
    <x v="9"/>
    <x v="0"/>
    <x v="6"/>
    <d v="2022-02-21T00:00:00"/>
    <x v="1"/>
    <x v="4"/>
    <n v="5502"/>
    <n v="99"/>
  </r>
  <r>
    <x v="24"/>
    <x v="5"/>
    <x v="19"/>
    <d v="2022-03-21T00:00:00"/>
    <x v="1"/>
    <x v="6"/>
    <n v="7462"/>
    <n v="371"/>
  </r>
  <r>
    <x v="1"/>
    <x v="0"/>
    <x v="9"/>
    <d v="2022-04-04T00:00:00"/>
    <x v="1"/>
    <x v="3"/>
    <n v="5803"/>
    <n v="136"/>
  </r>
  <r>
    <x v="5"/>
    <x v="5"/>
    <x v="13"/>
    <d v="2022-03-24T00:00:00"/>
    <x v="2"/>
    <x v="6"/>
    <n v="13888"/>
    <n v="203"/>
  </r>
  <r>
    <x v="5"/>
    <x v="3"/>
    <x v="12"/>
    <d v="2022-06-28T00:00:00"/>
    <x v="0"/>
    <x v="5"/>
    <n v="6867"/>
    <n v="183"/>
  </r>
  <r>
    <x v="5"/>
    <x v="2"/>
    <x v="9"/>
    <d v="2022-01-14T00:00:00"/>
    <x v="4"/>
    <x v="0"/>
    <n v="2317"/>
    <n v="195"/>
  </r>
  <r>
    <x v="10"/>
    <x v="3"/>
    <x v="13"/>
    <d v="2022-02-07T00:00:00"/>
    <x v="1"/>
    <x v="4"/>
    <n v="1218"/>
    <n v="135"/>
  </r>
  <r>
    <x v="17"/>
    <x v="3"/>
    <x v="9"/>
    <d v="2022-01-11T00:00:00"/>
    <x v="0"/>
    <x v="0"/>
    <n v="4109"/>
    <n v="197"/>
  </r>
  <r>
    <x v="0"/>
    <x v="1"/>
    <x v="4"/>
    <d v="2022-02-25T00:00:00"/>
    <x v="4"/>
    <x v="4"/>
    <n v="1953"/>
    <n v="242"/>
  </r>
  <r>
    <x v="23"/>
    <x v="2"/>
    <x v="0"/>
    <d v="2022-08-01T00:00:00"/>
    <x v="1"/>
    <x v="1"/>
    <n v="6790"/>
    <n v="25"/>
  </r>
  <r>
    <x v="13"/>
    <x v="2"/>
    <x v="0"/>
    <d v="2022-05-05T00:00:00"/>
    <x v="2"/>
    <x v="7"/>
    <n v="6797"/>
    <n v="252"/>
  </r>
  <r>
    <x v="22"/>
    <x v="3"/>
    <x v="17"/>
    <d v="2022-05-18T00:00:00"/>
    <x v="3"/>
    <x v="7"/>
    <n v="9226"/>
    <n v="415"/>
  </r>
  <r>
    <x v="23"/>
    <x v="3"/>
    <x v="18"/>
    <d v="2022-01-04T00:00:00"/>
    <x v="0"/>
    <x v="0"/>
    <n v="5733"/>
    <n v="348"/>
  </r>
  <r>
    <x v="13"/>
    <x v="3"/>
    <x v="6"/>
    <d v="2022-05-09T00:00:00"/>
    <x v="1"/>
    <x v="7"/>
    <n v="4312"/>
    <n v="211"/>
  </r>
  <r>
    <x v="7"/>
    <x v="1"/>
    <x v="3"/>
    <d v="2022-05-06T00:00:00"/>
    <x v="4"/>
    <x v="7"/>
    <n v="1638"/>
    <n v="81"/>
  </r>
  <r>
    <x v="15"/>
    <x v="0"/>
    <x v="14"/>
    <d v="2022-01-13T00:00:00"/>
    <x v="2"/>
    <x v="0"/>
    <n v="10815"/>
    <n v="145"/>
  </r>
  <r>
    <x v="13"/>
    <x v="2"/>
    <x v="16"/>
    <d v="2022-06-24T00:00:00"/>
    <x v="4"/>
    <x v="5"/>
    <n v="4466"/>
    <n v="74"/>
  </r>
  <r>
    <x v="1"/>
    <x v="4"/>
    <x v="20"/>
    <d v="2022-02-14T00:00:00"/>
    <x v="1"/>
    <x v="4"/>
    <n v="987"/>
    <n v="21"/>
  </r>
  <r>
    <x v="21"/>
    <x v="2"/>
    <x v="4"/>
    <d v="2022-01-18T00:00:00"/>
    <x v="0"/>
    <x v="0"/>
    <n v="4669"/>
    <n v="101"/>
  </r>
  <r>
    <x v="16"/>
    <x v="1"/>
    <x v="11"/>
    <d v="2022-05-02T00:00:00"/>
    <x v="1"/>
    <x v="7"/>
    <n v="2905"/>
    <n v="91"/>
  </r>
  <r>
    <x v="24"/>
    <x v="2"/>
    <x v="3"/>
    <d v="2022-05-16T00:00:00"/>
    <x v="1"/>
    <x v="7"/>
    <n v="7490"/>
    <n v="54"/>
  </r>
  <r>
    <x v="9"/>
    <x v="4"/>
    <x v="16"/>
    <d v="2022-01-28T00:00:00"/>
    <x v="4"/>
    <x v="0"/>
    <n v="6986"/>
    <n v="368"/>
  </r>
  <r>
    <x v="16"/>
    <x v="5"/>
    <x v="4"/>
    <d v="2022-06-24T00:00:00"/>
    <x v="4"/>
    <x v="5"/>
    <n v="1288"/>
    <n v="409"/>
  </r>
  <r>
    <x v="4"/>
    <x v="0"/>
    <x v="5"/>
    <d v="2022-07-18T00:00:00"/>
    <x v="1"/>
    <x v="2"/>
    <n v="2345"/>
    <n v="104"/>
  </r>
  <r>
    <x v="5"/>
    <x v="0"/>
    <x v="8"/>
    <d v="2022-04-13T00:00:00"/>
    <x v="3"/>
    <x v="3"/>
    <n v="3619"/>
    <n v="164"/>
  </r>
  <r>
    <x v="23"/>
    <x v="4"/>
    <x v="20"/>
    <d v="2022-04-15T00:00:00"/>
    <x v="4"/>
    <x v="3"/>
    <n v="16982"/>
    <n v="76"/>
  </r>
  <r>
    <x v="3"/>
    <x v="1"/>
    <x v="2"/>
    <d v="2022-01-04T00:00:00"/>
    <x v="0"/>
    <x v="0"/>
    <n v="8092"/>
    <n v="178"/>
  </r>
  <r>
    <x v="15"/>
    <x v="2"/>
    <x v="8"/>
    <d v="2022-07-04T00:00:00"/>
    <x v="1"/>
    <x v="2"/>
    <n v="6993"/>
    <n v="31"/>
  </r>
  <r>
    <x v="12"/>
    <x v="4"/>
    <x v="3"/>
    <d v="2022-03-24T00:00:00"/>
    <x v="2"/>
    <x v="6"/>
    <n v="2317"/>
    <n v="352"/>
  </r>
  <r>
    <x v="21"/>
    <x v="2"/>
    <x v="15"/>
    <d v="2022-03-17T00:00:00"/>
    <x v="2"/>
    <x v="6"/>
    <n v="637"/>
    <n v="169"/>
  </r>
  <r>
    <x v="4"/>
    <x v="2"/>
    <x v="16"/>
    <d v="2022-02-15T00:00:00"/>
    <x v="0"/>
    <x v="4"/>
    <n v="6034"/>
    <n v="223"/>
  </r>
  <r>
    <x v="3"/>
    <x v="4"/>
    <x v="7"/>
    <d v="2022-06-29T00:00:00"/>
    <x v="3"/>
    <x v="5"/>
    <n v="980"/>
    <n v="146"/>
  </r>
  <r>
    <x v="2"/>
    <x v="4"/>
    <x v="13"/>
    <d v="2022-05-24T00:00:00"/>
    <x v="0"/>
    <x v="7"/>
    <n v="2821"/>
    <n v="112"/>
  </r>
  <r>
    <x v="9"/>
    <x v="0"/>
    <x v="11"/>
    <d v="2022-01-10T00:00:00"/>
    <x v="1"/>
    <x v="0"/>
    <n v="3563"/>
    <n v="284"/>
  </r>
  <r>
    <x v="14"/>
    <x v="4"/>
    <x v="17"/>
    <d v="2022-03-15T00:00:00"/>
    <x v="0"/>
    <x v="6"/>
    <n v="2996"/>
    <n v="139"/>
  </r>
  <r>
    <x v="11"/>
    <x v="5"/>
    <x v="11"/>
    <d v="2022-02-08T00:00:00"/>
    <x v="0"/>
    <x v="4"/>
    <n v="2436"/>
    <n v="309"/>
  </r>
  <r>
    <x v="6"/>
    <x v="1"/>
    <x v="20"/>
    <d v="2022-02-25T00:00:00"/>
    <x v="4"/>
    <x v="4"/>
    <n v="1540"/>
    <n v="100"/>
  </r>
  <r>
    <x v="5"/>
    <x v="4"/>
    <x v="8"/>
    <d v="2022-05-03T00:00:00"/>
    <x v="0"/>
    <x v="7"/>
    <n v="6916"/>
    <n v="42"/>
  </r>
  <r>
    <x v="13"/>
    <x v="4"/>
    <x v="13"/>
    <d v="2022-06-14T00:00:00"/>
    <x v="0"/>
    <x v="5"/>
    <n v="5509"/>
    <n v="24"/>
  </r>
  <r>
    <x v="5"/>
    <x v="1"/>
    <x v="6"/>
    <d v="2022-08-09T00:00:00"/>
    <x v="0"/>
    <x v="1"/>
    <n v="12992"/>
    <n v="83"/>
  </r>
  <r>
    <x v="18"/>
    <x v="3"/>
    <x v="15"/>
    <d v="2022-07-11T00:00:00"/>
    <x v="1"/>
    <x v="2"/>
    <n v="3724"/>
    <n v="234"/>
  </r>
  <r>
    <x v="16"/>
    <x v="0"/>
    <x v="15"/>
    <d v="2022-01-14T00:00:00"/>
    <x v="4"/>
    <x v="0"/>
    <n v="7133"/>
    <n v="118"/>
  </r>
  <r>
    <x v="1"/>
    <x v="5"/>
    <x v="15"/>
    <d v="2022-02-24T00:00:00"/>
    <x v="2"/>
    <x v="4"/>
    <n v="8617"/>
    <n v="46"/>
  </r>
  <r>
    <x v="18"/>
    <x v="3"/>
    <x v="16"/>
    <d v="2022-03-15T00:00:00"/>
    <x v="0"/>
    <x v="6"/>
    <n v="9198"/>
    <n v="144"/>
  </r>
  <r>
    <x v="4"/>
    <x v="3"/>
    <x v="19"/>
    <d v="2022-04-25T00:00:00"/>
    <x v="1"/>
    <x v="3"/>
    <n v="11823"/>
    <n v="47"/>
  </r>
  <r>
    <x v="17"/>
    <x v="2"/>
    <x v="10"/>
    <d v="2022-05-10T00:00:00"/>
    <x v="0"/>
    <x v="7"/>
    <n v="5775"/>
    <n v="41"/>
  </r>
  <r>
    <x v="11"/>
    <x v="2"/>
    <x v="12"/>
    <d v="2022-06-23T00:00:00"/>
    <x v="2"/>
    <x v="5"/>
    <n v="13125"/>
    <n v="275"/>
  </r>
  <r>
    <x v="12"/>
    <x v="5"/>
    <x v="3"/>
    <d v="2022-02-28T00:00:00"/>
    <x v="1"/>
    <x v="4"/>
    <n v="14287"/>
    <n v="370"/>
  </r>
  <r>
    <x v="6"/>
    <x v="4"/>
    <x v="10"/>
    <d v="2022-05-25T00:00:00"/>
    <x v="3"/>
    <x v="7"/>
    <n v="16233"/>
    <n v="138"/>
  </r>
  <r>
    <x v="13"/>
    <x v="3"/>
    <x v="19"/>
    <d v="2022-02-22T00:00:00"/>
    <x v="0"/>
    <x v="4"/>
    <n v="5313"/>
    <n v="215"/>
  </r>
  <r>
    <x v="1"/>
    <x v="0"/>
    <x v="1"/>
    <d v="2022-07-11T00:00:00"/>
    <x v="1"/>
    <x v="2"/>
    <n v="3577"/>
    <n v="134"/>
  </r>
  <r>
    <x v="11"/>
    <x v="5"/>
    <x v="12"/>
    <d v="2022-01-03T00:00:00"/>
    <x v="1"/>
    <x v="0"/>
    <n v="3528"/>
    <n v="336"/>
  </r>
  <r>
    <x v="7"/>
    <x v="3"/>
    <x v="21"/>
    <d v="2022-08-24T00:00:00"/>
    <x v="3"/>
    <x v="1"/>
    <n v="679"/>
    <n v="280"/>
  </r>
  <r>
    <x v="12"/>
    <x v="4"/>
    <x v="6"/>
    <d v="2022-07-28T00:00:00"/>
    <x v="2"/>
    <x v="2"/>
    <n v="2450"/>
    <n v="352"/>
  </r>
  <r>
    <x v="6"/>
    <x v="4"/>
    <x v="0"/>
    <d v="2022-05-25T00:00:00"/>
    <x v="3"/>
    <x v="7"/>
    <n v="10577"/>
    <n v="150"/>
  </r>
  <r>
    <x v="10"/>
    <x v="3"/>
    <x v="8"/>
    <d v="2022-05-06T00:00:00"/>
    <x v="4"/>
    <x v="7"/>
    <n v="2597"/>
    <n v="177"/>
  </r>
  <r>
    <x v="8"/>
    <x v="1"/>
    <x v="9"/>
    <d v="2022-01-28T00:00:00"/>
    <x v="4"/>
    <x v="0"/>
    <n v="2219"/>
    <n v="142"/>
  </r>
  <r>
    <x v="11"/>
    <x v="0"/>
    <x v="7"/>
    <d v="2022-06-06T00:00:00"/>
    <x v="1"/>
    <x v="5"/>
    <n v="11319"/>
    <n v="12"/>
  </r>
  <r>
    <x v="6"/>
    <x v="3"/>
    <x v="19"/>
    <d v="2022-07-12T00:00:00"/>
    <x v="0"/>
    <x v="2"/>
    <n v="5978"/>
    <n v="24"/>
  </r>
  <r>
    <x v="24"/>
    <x v="5"/>
    <x v="12"/>
    <d v="2022-08-05T00:00:00"/>
    <x v="4"/>
    <x v="1"/>
    <n v="5327"/>
    <n v="183"/>
  </r>
  <r>
    <x v="6"/>
    <x v="4"/>
    <x v="7"/>
    <d v="2022-01-28T00:00:00"/>
    <x v="4"/>
    <x v="0"/>
    <n v="6020"/>
    <n v="147"/>
  </r>
  <r>
    <x v="16"/>
    <x v="1"/>
    <x v="12"/>
    <d v="2022-08-31T00:00:00"/>
    <x v="3"/>
    <x v="1"/>
    <n v="5614"/>
    <n v="137"/>
  </r>
  <r>
    <x v="9"/>
    <x v="4"/>
    <x v="6"/>
    <d v="2022-04-19T00:00:00"/>
    <x v="0"/>
    <x v="3"/>
    <n v="1736"/>
    <n v="13"/>
  </r>
  <r>
    <x v="9"/>
    <x v="0"/>
    <x v="0"/>
    <d v="2022-06-29T00:00:00"/>
    <x v="3"/>
    <x v="5"/>
    <n v="6384"/>
    <n v="2"/>
  </r>
  <r>
    <x v="12"/>
    <x v="1"/>
    <x v="18"/>
    <d v="2022-02-24T00:00:00"/>
    <x v="2"/>
    <x v="4"/>
    <n v="3577"/>
    <n v="261"/>
  </r>
  <r>
    <x v="22"/>
    <x v="0"/>
    <x v="3"/>
    <d v="2022-03-04T00:00:00"/>
    <x v="4"/>
    <x v="6"/>
    <n v="14539"/>
    <n v="84"/>
  </r>
  <r>
    <x v="2"/>
    <x v="1"/>
    <x v="8"/>
    <d v="2022-06-21T00:00:00"/>
    <x v="0"/>
    <x v="5"/>
    <n v="3493"/>
    <n v="68"/>
  </r>
  <r>
    <x v="7"/>
    <x v="2"/>
    <x v="10"/>
    <d v="2022-01-26T00:00:00"/>
    <x v="3"/>
    <x v="0"/>
    <n v="994"/>
    <n v="105"/>
  </r>
  <r>
    <x v="4"/>
    <x v="3"/>
    <x v="14"/>
    <d v="2022-06-10T00:00:00"/>
    <x v="4"/>
    <x v="5"/>
    <n v="4361"/>
    <n v="40"/>
  </r>
  <r>
    <x v="19"/>
    <x v="0"/>
    <x v="9"/>
    <d v="2022-05-23T00:00:00"/>
    <x v="1"/>
    <x v="7"/>
    <n v="1554"/>
    <n v="65"/>
  </r>
  <r>
    <x v="20"/>
    <x v="1"/>
    <x v="11"/>
    <d v="2022-04-15T00:00:00"/>
    <x v="4"/>
    <x v="3"/>
    <n v="966"/>
    <n v="107"/>
  </r>
  <r>
    <x v="10"/>
    <x v="3"/>
    <x v="20"/>
    <d v="2022-01-31T00:00:00"/>
    <x v="1"/>
    <x v="0"/>
    <n v="5334"/>
    <n v="227"/>
  </r>
  <r>
    <x v="19"/>
    <x v="3"/>
    <x v="10"/>
    <d v="2022-03-04T00:00:00"/>
    <x v="4"/>
    <x v="6"/>
    <n v="4935"/>
    <n v="39"/>
  </r>
  <r>
    <x v="8"/>
    <x v="3"/>
    <x v="5"/>
    <d v="2022-04-19T00:00:00"/>
    <x v="0"/>
    <x v="3"/>
    <n v="10024"/>
    <n v="84"/>
  </r>
  <r>
    <x v="12"/>
    <x v="0"/>
    <x v="16"/>
    <d v="2022-05-16T00:00:00"/>
    <x v="1"/>
    <x v="7"/>
    <n v="2506"/>
    <n v="100"/>
  </r>
  <r>
    <x v="4"/>
    <x v="2"/>
    <x v="17"/>
    <d v="2022-02-17T00:00:00"/>
    <x v="2"/>
    <x v="4"/>
    <n v="1043"/>
    <n v="120"/>
  </r>
  <r>
    <x v="17"/>
    <x v="4"/>
    <x v="17"/>
    <d v="2022-01-18T00:00:00"/>
    <x v="0"/>
    <x v="0"/>
    <n v="6524"/>
    <n v="257"/>
  </r>
  <r>
    <x v="13"/>
    <x v="5"/>
    <x v="7"/>
    <d v="2022-02-09T00:00:00"/>
    <x v="3"/>
    <x v="4"/>
    <n v="8148"/>
    <n v="85"/>
  </r>
  <r>
    <x v="9"/>
    <x v="5"/>
    <x v="7"/>
    <d v="2022-03-23T00:00:00"/>
    <x v="3"/>
    <x v="6"/>
    <n v="3577"/>
    <n v="178"/>
  </r>
  <r>
    <x v="22"/>
    <x v="3"/>
    <x v="20"/>
    <d v="2022-02-01T00:00:00"/>
    <x v="0"/>
    <x v="4"/>
    <n v="3374"/>
    <n v="151"/>
  </r>
  <r>
    <x v="9"/>
    <x v="1"/>
    <x v="9"/>
    <d v="2022-03-07T00:00:00"/>
    <x v="1"/>
    <x v="6"/>
    <n v="3948"/>
    <n v="142"/>
  </r>
  <r>
    <x v="24"/>
    <x v="0"/>
    <x v="14"/>
    <d v="2022-01-03T00:00:00"/>
    <x v="1"/>
    <x v="0"/>
    <n v="3269"/>
    <n v="226"/>
  </r>
  <r>
    <x v="24"/>
    <x v="4"/>
    <x v="14"/>
    <d v="2022-02-11T00:00:00"/>
    <x v="4"/>
    <x v="4"/>
    <n v="5271"/>
    <n v="341"/>
  </r>
  <r>
    <x v="17"/>
    <x v="3"/>
    <x v="7"/>
    <d v="2022-03-16T00:00:00"/>
    <x v="3"/>
    <x v="6"/>
    <n v="4571"/>
    <n v="140"/>
  </r>
  <r>
    <x v="23"/>
    <x v="1"/>
    <x v="14"/>
    <d v="2022-08-15T00:00:00"/>
    <x v="1"/>
    <x v="1"/>
    <n v="12327"/>
    <n v="330"/>
  </r>
  <r>
    <x v="2"/>
    <x v="1"/>
    <x v="15"/>
    <d v="2022-05-12T00:00:00"/>
    <x v="2"/>
    <x v="7"/>
    <n v="4935"/>
    <n v="73"/>
  </r>
  <r>
    <x v="1"/>
    <x v="1"/>
    <x v="12"/>
    <d v="2022-04-11T00:00:00"/>
    <x v="1"/>
    <x v="3"/>
    <n v="6167"/>
    <n v="4"/>
  </r>
  <r>
    <x v="3"/>
    <x v="3"/>
    <x v="0"/>
    <d v="2022-06-30T00:00:00"/>
    <x v="2"/>
    <x v="5"/>
    <n v="18340"/>
    <n v="285"/>
  </r>
  <r>
    <x v="23"/>
    <x v="3"/>
    <x v="14"/>
    <d v="2022-06-15T00:00:00"/>
    <x v="3"/>
    <x v="5"/>
    <n v="7014"/>
    <n v="60"/>
  </r>
  <r>
    <x v="7"/>
    <x v="5"/>
    <x v="20"/>
    <d v="2022-08-01T00:00:00"/>
    <x v="1"/>
    <x v="1"/>
    <n v="7119"/>
    <n v="101"/>
  </r>
  <r>
    <x v="16"/>
    <x v="4"/>
    <x v="11"/>
    <d v="2022-06-15T00:00:00"/>
    <x v="3"/>
    <x v="5"/>
    <n v="15491"/>
    <n v="58"/>
  </r>
  <r>
    <x v="6"/>
    <x v="1"/>
    <x v="5"/>
    <d v="2022-06-16T00:00:00"/>
    <x v="2"/>
    <x v="5"/>
    <n v="5747"/>
    <n v="45"/>
  </r>
  <r>
    <x v="4"/>
    <x v="3"/>
    <x v="17"/>
    <d v="2022-05-13T00:00:00"/>
    <x v="4"/>
    <x v="7"/>
    <n v="4550"/>
    <n v="281"/>
  </r>
  <r>
    <x v="17"/>
    <x v="4"/>
    <x v="9"/>
    <d v="2022-05-10T00:00:00"/>
    <x v="0"/>
    <x v="7"/>
    <n v="2191"/>
    <n v="138"/>
  </r>
  <r>
    <x v="4"/>
    <x v="1"/>
    <x v="8"/>
    <d v="2022-08-25T00:00:00"/>
    <x v="2"/>
    <x v="1"/>
    <n v="5663"/>
    <n v="322"/>
  </r>
  <r>
    <x v="24"/>
    <x v="3"/>
    <x v="10"/>
    <d v="2022-07-15T00:00:00"/>
    <x v="4"/>
    <x v="2"/>
    <n v="7623"/>
    <n v="85"/>
  </r>
  <r>
    <x v="2"/>
    <x v="0"/>
    <x v="19"/>
    <d v="2022-05-16T00:00:00"/>
    <x v="1"/>
    <x v="7"/>
    <n v="9023"/>
    <n v="409"/>
  </r>
  <r>
    <x v="3"/>
    <x v="2"/>
    <x v="6"/>
    <d v="2022-06-14T00:00:00"/>
    <x v="0"/>
    <x v="5"/>
    <n v="3402"/>
    <n v="182"/>
  </r>
  <r>
    <x v="12"/>
    <x v="2"/>
    <x v="3"/>
    <d v="2022-01-25T00:00:00"/>
    <x v="0"/>
    <x v="0"/>
    <n v="10507"/>
    <n v="467"/>
  </r>
  <r>
    <x v="24"/>
    <x v="4"/>
    <x v="10"/>
    <d v="2022-07-28T00:00:00"/>
    <x v="2"/>
    <x v="2"/>
    <n v="7721"/>
    <n v="14"/>
  </r>
  <r>
    <x v="6"/>
    <x v="5"/>
    <x v="0"/>
    <d v="2022-01-28T00:00:00"/>
    <x v="4"/>
    <x v="0"/>
    <n v="5033"/>
    <n v="178"/>
  </r>
  <r>
    <x v="16"/>
    <x v="0"/>
    <x v="7"/>
    <d v="2022-06-29T00:00:00"/>
    <x v="3"/>
    <x v="5"/>
    <n v="1960"/>
    <n v="191"/>
  </r>
  <r>
    <x v="10"/>
    <x v="2"/>
    <x v="21"/>
    <d v="2022-06-24T00:00:00"/>
    <x v="4"/>
    <x v="5"/>
    <n v="238"/>
    <n v="317"/>
  </r>
  <r>
    <x v="5"/>
    <x v="5"/>
    <x v="0"/>
    <d v="2022-07-01T00:00:00"/>
    <x v="4"/>
    <x v="2"/>
    <n v="7756"/>
    <n v="410"/>
  </r>
  <r>
    <x v="13"/>
    <x v="4"/>
    <x v="2"/>
    <d v="2022-02-25T00:00:00"/>
    <x v="4"/>
    <x v="4"/>
    <n v="1736"/>
    <n v="137"/>
  </r>
  <r>
    <x v="14"/>
    <x v="5"/>
    <x v="3"/>
    <d v="2022-08-01T00:00:00"/>
    <x v="1"/>
    <x v="1"/>
    <n v="2660"/>
    <n v="12"/>
  </r>
  <r>
    <x v="4"/>
    <x v="2"/>
    <x v="11"/>
    <d v="2022-06-21T00:00:00"/>
    <x v="0"/>
    <x v="5"/>
    <n v="7672"/>
    <n v="254"/>
  </r>
  <r>
    <x v="21"/>
    <x v="3"/>
    <x v="12"/>
    <d v="2022-01-25T00:00:00"/>
    <x v="0"/>
    <x v="0"/>
    <n v="11564"/>
    <n v="24"/>
  </r>
  <r>
    <x v="2"/>
    <x v="0"/>
    <x v="11"/>
    <d v="2022-05-17T00:00:00"/>
    <x v="0"/>
    <x v="7"/>
    <n v="1365"/>
    <n v="232"/>
  </r>
  <r>
    <x v="19"/>
    <x v="2"/>
    <x v="1"/>
    <d v="2022-08-23T00:00:00"/>
    <x v="0"/>
    <x v="1"/>
    <n v="4186"/>
    <n v="233"/>
  </r>
  <r>
    <x v="21"/>
    <x v="2"/>
    <x v="3"/>
    <d v="2022-03-03T00:00:00"/>
    <x v="2"/>
    <x v="6"/>
    <n v="7406"/>
    <n v="118"/>
  </r>
  <r>
    <x v="13"/>
    <x v="1"/>
    <x v="20"/>
    <d v="2022-05-30T00:00:00"/>
    <x v="1"/>
    <x v="7"/>
    <n v="8911"/>
    <n v="543"/>
  </r>
  <r>
    <x v="10"/>
    <x v="4"/>
    <x v="9"/>
    <d v="2022-06-29T00:00:00"/>
    <x v="3"/>
    <x v="5"/>
    <n v="112"/>
    <n v="223"/>
  </r>
  <r>
    <x v="19"/>
    <x v="5"/>
    <x v="10"/>
    <d v="2022-01-04T00:00:00"/>
    <x v="0"/>
    <x v="0"/>
    <n v="8204"/>
    <n v="204"/>
  </r>
  <r>
    <x v="0"/>
    <x v="2"/>
    <x v="9"/>
    <d v="2022-01-14T00:00:00"/>
    <x v="4"/>
    <x v="0"/>
    <n v="2611"/>
    <n v="65"/>
  </r>
  <r>
    <x v="10"/>
    <x v="4"/>
    <x v="0"/>
    <d v="2022-02-15T00:00:00"/>
    <x v="0"/>
    <x v="4"/>
    <n v="15652"/>
    <n v="53"/>
  </r>
  <r>
    <x v="14"/>
    <x v="3"/>
    <x v="12"/>
    <d v="2022-01-10T00:00:00"/>
    <x v="1"/>
    <x v="0"/>
    <n v="4074"/>
    <n v="469"/>
  </r>
  <r>
    <x v="22"/>
    <x v="4"/>
    <x v="14"/>
    <d v="2022-05-04T00:00:00"/>
    <x v="3"/>
    <x v="7"/>
    <n v="12250"/>
    <n v="213"/>
  </r>
  <r>
    <x v="19"/>
    <x v="4"/>
    <x v="12"/>
    <d v="2022-05-23T00:00:00"/>
    <x v="1"/>
    <x v="7"/>
    <n v="2366"/>
    <n v="5"/>
  </r>
  <r>
    <x v="8"/>
    <x v="3"/>
    <x v="13"/>
    <d v="2022-04-26T00:00:00"/>
    <x v="0"/>
    <x v="3"/>
    <n v="1687"/>
    <n v="147"/>
  </r>
  <r>
    <x v="4"/>
    <x v="5"/>
    <x v="10"/>
    <d v="2022-07-05T00:00:00"/>
    <x v="0"/>
    <x v="2"/>
    <n v="1232"/>
    <n v="74"/>
  </r>
  <r>
    <x v="22"/>
    <x v="0"/>
    <x v="10"/>
    <d v="2022-07-21T00:00:00"/>
    <x v="2"/>
    <x v="2"/>
    <n v="6965"/>
    <n v="163"/>
  </r>
  <r>
    <x v="23"/>
    <x v="4"/>
    <x v="0"/>
    <d v="2022-02-21T00:00:00"/>
    <x v="1"/>
    <x v="4"/>
    <n v="5292"/>
    <n v="248"/>
  </r>
  <r>
    <x v="20"/>
    <x v="4"/>
    <x v="7"/>
    <d v="2022-02-03T00:00:00"/>
    <x v="2"/>
    <x v="4"/>
    <n v="1379"/>
    <n v="138"/>
  </r>
  <r>
    <x v="2"/>
    <x v="2"/>
    <x v="20"/>
    <d v="2022-07-08T00:00:00"/>
    <x v="4"/>
    <x v="2"/>
    <n v="8001"/>
    <n v="151"/>
  </r>
  <r>
    <x v="9"/>
    <x v="1"/>
    <x v="6"/>
    <d v="2022-05-31T00:00:00"/>
    <x v="0"/>
    <x v="7"/>
    <n v="588"/>
    <n v="139"/>
  </r>
  <r>
    <x v="1"/>
    <x v="3"/>
    <x v="0"/>
    <d v="2022-06-27T00:00:00"/>
    <x v="1"/>
    <x v="5"/>
    <n v="4046"/>
    <n v="103"/>
  </r>
  <r>
    <x v="1"/>
    <x v="1"/>
    <x v="6"/>
    <d v="2022-05-13T00:00:00"/>
    <x v="4"/>
    <x v="7"/>
    <n v="5103"/>
    <n v="129"/>
  </r>
  <r>
    <x v="1"/>
    <x v="4"/>
    <x v="15"/>
    <d v="2022-05-31T00:00:00"/>
    <x v="0"/>
    <x v="7"/>
    <n v="2317"/>
    <n v="102"/>
  </r>
  <r>
    <x v="18"/>
    <x v="4"/>
    <x v="7"/>
    <d v="2022-02-28T00:00:00"/>
    <x v="1"/>
    <x v="4"/>
    <n v="7042"/>
    <n v="37"/>
  </r>
  <r>
    <x v="8"/>
    <x v="3"/>
    <x v="8"/>
    <d v="2022-03-28T00:00:00"/>
    <x v="1"/>
    <x v="6"/>
    <n v="6713"/>
    <n v="31"/>
  </r>
  <r>
    <x v="2"/>
    <x v="4"/>
    <x v="5"/>
    <d v="2022-01-14T00:00:00"/>
    <x v="4"/>
    <x v="0"/>
    <n v="1848"/>
    <n v="227"/>
  </r>
  <r>
    <x v="8"/>
    <x v="3"/>
    <x v="0"/>
    <d v="2022-02-21T00:00:00"/>
    <x v="1"/>
    <x v="4"/>
    <n v="6440"/>
    <n v="145"/>
  </r>
  <r>
    <x v="17"/>
    <x v="5"/>
    <x v="1"/>
    <d v="2022-08-01T00:00:00"/>
    <x v="1"/>
    <x v="1"/>
    <n v="10885"/>
    <n v="90"/>
  </r>
  <r>
    <x v="12"/>
    <x v="3"/>
    <x v="3"/>
    <d v="2022-05-19T00:00:00"/>
    <x v="2"/>
    <x v="7"/>
    <n v="2387"/>
    <n v="59"/>
  </r>
  <r>
    <x v="15"/>
    <x v="4"/>
    <x v="14"/>
    <d v="2022-07-13T00:00:00"/>
    <x v="3"/>
    <x v="2"/>
    <n v="2030"/>
    <n v="60"/>
  </r>
  <r>
    <x v="19"/>
    <x v="2"/>
    <x v="2"/>
    <d v="2022-04-20T00:00:00"/>
    <x v="3"/>
    <x v="3"/>
    <n v="6678"/>
    <n v="148"/>
  </r>
  <r>
    <x v="17"/>
    <x v="1"/>
    <x v="1"/>
    <d v="2022-06-30T00:00:00"/>
    <x v="2"/>
    <x v="5"/>
    <n v="4515"/>
    <n v="22"/>
  </r>
  <r>
    <x v="14"/>
    <x v="0"/>
    <x v="6"/>
    <d v="2022-03-08T00:00:00"/>
    <x v="0"/>
    <x v="6"/>
    <n v="3374"/>
    <n v="142"/>
  </r>
  <r>
    <x v="5"/>
    <x v="4"/>
    <x v="13"/>
    <d v="2022-03-09T00:00:00"/>
    <x v="3"/>
    <x v="6"/>
    <n v="5852"/>
    <n v="93"/>
  </r>
  <r>
    <x v="4"/>
    <x v="5"/>
    <x v="17"/>
    <d v="2022-06-16T00:00:00"/>
    <x v="2"/>
    <x v="5"/>
    <n v="1750"/>
    <n v="208"/>
  </r>
  <r>
    <x v="2"/>
    <x v="0"/>
    <x v="9"/>
    <d v="2022-06-30T00:00:00"/>
    <x v="2"/>
    <x v="5"/>
    <n v="5782"/>
    <n v="42"/>
  </r>
  <r>
    <x v="20"/>
    <x v="1"/>
    <x v="0"/>
    <d v="2022-07-28T00:00:00"/>
    <x v="2"/>
    <x v="2"/>
    <n v="2870"/>
    <n v="120"/>
  </r>
  <r>
    <x v="10"/>
    <x v="5"/>
    <x v="2"/>
    <d v="2022-08-12T00:00:00"/>
    <x v="4"/>
    <x v="1"/>
    <n v="3094"/>
    <n v="159"/>
  </r>
  <r>
    <x v="8"/>
    <x v="0"/>
    <x v="0"/>
    <d v="2022-07-07T00:00:00"/>
    <x v="2"/>
    <x v="2"/>
    <n v="3724"/>
    <n v="316"/>
  </r>
  <r>
    <x v="8"/>
    <x v="4"/>
    <x v="1"/>
    <d v="2022-08-25T00:00:00"/>
    <x v="2"/>
    <x v="1"/>
    <n v="12761"/>
    <n v="47"/>
  </r>
  <r>
    <x v="15"/>
    <x v="5"/>
    <x v="8"/>
    <d v="2022-01-17T00:00:00"/>
    <x v="1"/>
    <x v="0"/>
    <n v="3696"/>
    <n v="233"/>
  </r>
  <r>
    <x v="3"/>
    <x v="2"/>
    <x v="21"/>
    <d v="2022-03-04T00:00:00"/>
    <x v="4"/>
    <x v="6"/>
    <n v="5222"/>
    <n v="384"/>
  </r>
  <r>
    <x v="11"/>
    <x v="3"/>
    <x v="13"/>
    <d v="2022-08-25T00:00:00"/>
    <x v="2"/>
    <x v="1"/>
    <n v="8939"/>
    <n v="4"/>
  </r>
  <r>
    <x v="24"/>
    <x v="0"/>
    <x v="2"/>
    <d v="2022-04-15T00:00:00"/>
    <x v="4"/>
    <x v="3"/>
    <n v="2156"/>
    <n v="260"/>
  </r>
  <r>
    <x v="16"/>
    <x v="4"/>
    <x v="10"/>
    <d v="2022-03-11T00:00:00"/>
    <x v="4"/>
    <x v="6"/>
    <n v="2380"/>
    <n v="22"/>
  </r>
  <r>
    <x v="21"/>
    <x v="4"/>
    <x v="17"/>
    <d v="2022-05-20T00:00:00"/>
    <x v="4"/>
    <x v="7"/>
    <n v="3339"/>
    <n v="18"/>
  </r>
  <r>
    <x v="6"/>
    <x v="3"/>
    <x v="15"/>
    <d v="2022-06-14T00:00:00"/>
    <x v="0"/>
    <x v="5"/>
    <n v="14980"/>
    <n v="42"/>
  </r>
  <r>
    <x v="0"/>
    <x v="3"/>
    <x v="5"/>
    <d v="2022-04-14T00:00:00"/>
    <x v="2"/>
    <x v="3"/>
    <n v="1512"/>
    <n v="73"/>
  </r>
  <r>
    <x v="0"/>
    <x v="4"/>
    <x v="3"/>
    <d v="2022-07-07T00:00:00"/>
    <x v="2"/>
    <x v="2"/>
    <n v="6657"/>
    <n v="154"/>
  </r>
  <r>
    <x v="22"/>
    <x v="1"/>
    <x v="0"/>
    <d v="2022-08-24T00:00:00"/>
    <x v="3"/>
    <x v="1"/>
    <n v="3836"/>
    <n v="71"/>
  </r>
  <r>
    <x v="0"/>
    <x v="1"/>
    <x v="8"/>
    <d v="2022-02-24T00:00:00"/>
    <x v="2"/>
    <x v="4"/>
    <n v="8771"/>
    <n v="127"/>
  </r>
  <r>
    <x v="10"/>
    <x v="5"/>
    <x v="17"/>
    <d v="2022-05-09T00:00:00"/>
    <x v="1"/>
    <x v="7"/>
    <n v="651"/>
    <n v="224"/>
  </r>
  <r>
    <x v="16"/>
    <x v="2"/>
    <x v="21"/>
    <d v="2022-02-08T00:00:00"/>
    <x v="0"/>
    <x v="4"/>
    <n v="6706"/>
    <n v="223"/>
  </r>
  <r>
    <x v="13"/>
    <x v="0"/>
    <x v="21"/>
    <d v="2022-03-24T00:00:00"/>
    <x v="2"/>
    <x v="6"/>
    <n v="1421"/>
    <n v="284"/>
  </r>
  <r>
    <x v="7"/>
    <x v="4"/>
    <x v="9"/>
    <d v="2022-06-20T00:00:00"/>
    <x v="1"/>
    <x v="5"/>
    <n v="8526"/>
    <n v="73"/>
  </r>
  <r>
    <x v="9"/>
    <x v="5"/>
    <x v="15"/>
    <d v="2022-03-07T00:00:00"/>
    <x v="1"/>
    <x v="6"/>
    <n v="1435"/>
    <n v="112"/>
  </r>
  <r>
    <x v="16"/>
    <x v="2"/>
    <x v="13"/>
    <d v="2022-06-20T00:00:00"/>
    <x v="1"/>
    <x v="5"/>
    <n v="7434"/>
    <n v="85"/>
  </r>
  <r>
    <x v="4"/>
    <x v="3"/>
    <x v="10"/>
    <d v="2022-02-17T00:00:00"/>
    <x v="2"/>
    <x v="4"/>
    <n v="15316"/>
    <n v="270"/>
  </r>
  <r>
    <x v="22"/>
    <x v="0"/>
    <x v="4"/>
    <d v="2022-01-26T00:00:00"/>
    <x v="3"/>
    <x v="0"/>
    <n v="10479"/>
    <n v="45"/>
  </r>
  <r>
    <x v="22"/>
    <x v="2"/>
    <x v="0"/>
    <d v="2022-05-02T00:00:00"/>
    <x v="1"/>
    <x v="7"/>
    <n v="2751"/>
    <n v="153"/>
  </r>
  <r>
    <x v="14"/>
    <x v="5"/>
    <x v="4"/>
    <d v="2022-07-07T00:00:00"/>
    <x v="2"/>
    <x v="2"/>
    <n v="12586"/>
    <n v="7"/>
  </r>
  <r>
    <x v="7"/>
    <x v="2"/>
    <x v="19"/>
    <d v="2022-08-22T00:00:00"/>
    <x v="1"/>
    <x v="1"/>
    <n v="2786"/>
    <n v="51"/>
  </r>
  <r>
    <x v="10"/>
    <x v="2"/>
    <x v="5"/>
    <d v="2022-08-11T00:00:00"/>
    <x v="2"/>
    <x v="1"/>
    <n v="2303"/>
    <n v="67"/>
  </r>
  <r>
    <x v="11"/>
    <x v="0"/>
    <x v="4"/>
    <d v="2022-01-13T00:00:00"/>
    <x v="2"/>
    <x v="0"/>
    <n v="8113"/>
    <n v="194"/>
  </r>
  <r>
    <x v="5"/>
    <x v="2"/>
    <x v="6"/>
    <d v="2022-03-02T00:00:00"/>
    <x v="3"/>
    <x v="6"/>
    <n v="12271"/>
    <n v="116"/>
  </r>
  <r>
    <x v="11"/>
    <x v="2"/>
    <x v="18"/>
    <d v="2022-07-27T00:00:00"/>
    <x v="3"/>
    <x v="2"/>
    <n v="11298"/>
    <n v="41"/>
  </r>
  <r>
    <x v="20"/>
    <x v="3"/>
    <x v="9"/>
    <d v="2022-03-10T00:00:00"/>
    <x v="2"/>
    <x v="6"/>
    <n v="15855"/>
    <n v="111"/>
  </r>
  <r>
    <x v="12"/>
    <x v="4"/>
    <x v="1"/>
    <d v="2022-08-23T00:00:00"/>
    <x v="0"/>
    <x v="1"/>
    <n v="12404"/>
    <n v="334"/>
  </r>
  <r>
    <x v="13"/>
    <x v="4"/>
    <x v="8"/>
    <d v="2022-04-25T00:00:00"/>
    <x v="1"/>
    <x v="3"/>
    <n v="3990"/>
    <n v="155"/>
  </r>
  <r>
    <x v="17"/>
    <x v="0"/>
    <x v="11"/>
    <d v="2022-03-07T00:00:00"/>
    <x v="1"/>
    <x v="6"/>
    <n v="10808"/>
    <n v="407"/>
  </r>
  <r>
    <x v="18"/>
    <x v="0"/>
    <x v="10"/>
    <d v="2022-07-12T00:00:00"/>
    <x v="0"/>
    <x v="2"/>
    <n v="4858"/>
    <n v="52"/>
  </r>
  <r>
    <x v="22"/>
    <x v="4"/>
    <x v="7"/>
    <d v="2022-05-16T00:00:00"/>
    <x v="1"/>
    <x v="7"/>
    <n v="7742"/>
    <n v="138"/>
  </r>
  <r>
    <x v="5"/>
    <x v="1"/>
    <x v="3"/>
    <d v="2022-03-02T00:00:00"/>
    <x v="3"/>
    <x v="6"/>
    <n v="3752"/>
    <n v="70"/>
  </r>
  <r>
    <x v="11"/>
    <x v="3"/>
    <x v="1"/>
    <d v="2022-05-30T00:00:00"/>
    <x v="1"/>
    <x v="7"/>
    <n v="1218"/>
    <n v="149"/>
  </r>
  <r>
    <x v="11"/>
    <x v="0"/>
    <x v="15"/>
    <d v="2022-06-10T00:00:00"/>
    <x v="4"/>
    <x v="5"/>
    <n v="10983"/>
    <n v="179"/>
  </r>
  <r>
    <x v="6"/>
    <x v="4"/>
    <x v="4"/>
    <d v="2022-07-25T00:00:00"/>
    <x v="1"/>
    <x v="2"/>
    <n v="6769"/>
    <n v="353"/>
  </r>
  <r>
    <x v="12"/>
    <x v="3"/>
    <x v="0"/>
    <d v="2022-06-09T00:00:00"/>
    <x v="2"/>
    <x v="5"/>
    <n v="4361"/>
    <n v="97"/>
  </r>
  <r>
    <x v="17"/>
    <x v="4"/>
    <x v="11"/>
    <d v="2022-05-12T00:00:00"/>
    <x v="2"/>
    <x v="7"/>
    <n v="777"/>
    <n v="60"/>
  </r>
  <r>
    <x v="5"/>
    <x v="4"/>
    <x v="9"/>
    <d v="2022-05-09T00:00:00"/>
    <x v="1"/>
    <x v="7"/>
    <n v="3843"/>
    <n v="5"/>
  </r>
  <r>
    <x v="6"/>
    <x v="5"/>
    <x v="15"/>
    <d v="2022-08-09T00:00:00"/>
    <x v="0"/>
    <x v="1"/>
    <n v="6930"/>
    <n v="182"/>
  </r>
  <r>
    <x v="1"/>
    <x v="1"/>
    <x v="18"/>
    <d v="2022-04-13T00:00:00"/>
    <x v="3"/>
    <x v="3"/>
    <n v="5733"/>
    <n v="114"/>
  </r>
  <r>
    <x v="19"/>
    <x v="4"/>
    <x v="20"/>
    <d v="2022-05-02T00:00:00"/>
    <x v="1"/>
    <x v="7"/>
    <n v="8393"/>
    <n v="46"/>
  </r>
  <r>
    <x v="23"/>
    <x v="4"/>
    <x v="4"/>
    <d v="2022-08-09T00:00:00"/>
    <x v="0"/>
    <x v="1"/>
    <n v="3822"/>
    <n v="320"/>
  </r>
  <r>
    <x v="21"/>
    <x v="2"/>
    <x v="17"/>
    <d v="2022-08-23T00:00:00"/>
    <x v="0"/>
    <x v="1"/>
    <n v="6342"/>
    <n v="178"/>
  </r>
  <r>
    <x v="5"/>
    <x v="1"/>
    <x v="12"/>
    <d v="2022-05-13T00:00:00"/>
    <x v="4"/>
    <x v="7"/>
    <n v="6510"/>
    <n v="170"/>
  </r>
  <r>
    <x v="10"/>
    <x v="4"/>
    <x v="15"/>
    <d v="2022-02-01T00:00:00"/>
    <x v="0"/>
    <x v="4"/>
    <n v="10171"/>
    <n v="67"/>
  </r>
  <r>
    <x v="21"/>
    <x v="4"/>
    <x v="6"/>
    <d v="2022-06-23T00:00:00"/>
    <x v="2"/>
    <x v="5"/>
    <n v="5908"/>
    <n v="301"/>
  </r>
  <r>
    <x v="22"/>
    <x v="0"/>
    <x v="18"/>
    <d v="2022-05-24T00:00:00"/>
    <x v="0"/>
    <x v="7"/>
    <n v="10164"/>
    <n v="134"/>
  </r>
  <r>
    <x v="3"/>
    <x v="5"/>
    <x v="0"/>
    <d v="2022-04-01T00:00:00"/>
    <x v="4"/>
    <x v="3"/>
    <n v="1064"/>
    <n v="211"/>
  </r>
  <r>
    <x v="21"/>
    <x v="5"/>
    <x v="21"/>
    <d v="2022-07-27T00:00:00"/>
    <x v="3"/>
    <x v="2"/>
    <n v="9716"/>
    <n v="151"/>
  </r>
  <r>
    <x v="24"/>
    <x v="1"/>
    <x v="2"/>
    <d v="2022-01-27T00:00:00"/>
    <x v="2"/>
    <x v="0"/>
    <n v="22050"/>
    <n v="208"/>
  </r>
  <r>
    <x v="3"/>
    <x v="1"/>
    <x v="18"/>
    <d v="2022-08-12T00:00:00"/>
    <x v="4"/>
    <x v="1"/>
    <n v="2541"/>
    <n v="134"/>
  </r>
  <r>
    <x v="2"/>
    <x v="5"/>
    <x v="16"/>
    <d v="2022-02-01T00:00:00"/>
    <x v="0"/>
    <x v="4"/>
    <n v="9989"/>
    <n v="49"/>
  </r>
  <r>
    <x v="7"/>
    <x v="1"/>
    <x v="5"/>
    <d v="2022-03-02T00:00:00"/>
    <x v="3"/>
    <x v="6"/>
    <n v="4739"/>
    <n v="204"/>
  </r>
  <r>
    <x v="20"/>
    <x v="2"/>
    <x v="4"/>
    <d v="2022-06-30T00:00:00"/>
    <x v="2"/>
    <x v="5"/>
    <n v="3185"/>
    <n v="34"/>
  </r>
  <r>
    <x v="23"/>
    <x v="2"/>
    <x v="12"/>
    <d v="2022-01-17T00:00:00"/>
    <x v="1"/>
    <x v="0"/>
    <n v="8225"/>
    <n v="91"/>
  </r>
  <r>
    <x v="6"/>
    <x v="4"/>
    <x v="11"/>
    <d v="2022-07-07T00:00:00"/>
    <x v="2"/>
    <x v="2"/>
    <n v="14301"/>
    <n v="130"/>
  </r>
  <r>
    <x v="9"/>
    <x v="3"/>
    <x v="0"/>
    <d v="2022-01-31T00:00:00"/>
    <x v="1"/>
    <x v="0"/>
    <n v="1316"/>
    <n v="107"/>
  </r>
  <r>
    <x v="12"/>
    <x v="0"/>
    <x v="4"/>
    <d v="2022-08-10T00:00:00"/>
    <x v="3"/>
    <x v="1"/>
    <n v="3486"/>
    <n v="121"/>
  </r>
  <r>
    <x v="12"/>
    <x v="4"/>
    <x v="2"/>
    <d v="2022-08-18T00:00:00"/>
    <x v="2"/>
    <x v="1"/>
    <n v="13930"/>
    <n v="339"/>
  </r>
  <r>
    <x v="6"/>
    <x v="3"/>
    <x v="14"/>
    <d v="2022-06-15T00:00:00"/>
    <x v="3"/>
    <x v="5"/>
    <n v="5509"/>
    <n v="321"/>
  </r>
  <r>
    <x v="11"/>
    <x v="4"/>
    <x v="19"/>
    <d v="2022-01-26T00:00:00"/>
    <x v="3"/>
    <x v="0"/>
    <n v="8470"/>
    <n v="9"/>
  </r>
  <r>
    <x v="20"/>
    <x v="4"/>
    <x v="12"/>
    <d v="2022-04-29T00:00:00"/>
    <x v="4"/>
    <x v="3"/>
    <n v="77"/>
    <n v="69"/>
  </r>
  <r>
    <x v="9"/>
    <x v="5"/>
    <x v="14"/>
    <d v="2022-03-03T00:00:00"/>
    <x v="2"/>
    <x v="6"/>
    <n v="3381"/>
    <n v="72"/>
  </r>
  <r>
    <x v="16"/>
    <x v="2"/>
    <x v="16"/>
    <d v="2022-02-22T00:00:00"/>
    <x v="0"/>
    <x v="4"/>
    <n v="4102"/>
    <n v="392"/>
  </r>
  <r>
    <x v="4"/>
    <x v="4"/>
    <x v="3"/>
    <d v="2022-03-04T00:00:00"/>
    <x v="4"/>
    <x v="6"/>
    <n v="3577"/>
    <n v="158"/>
  </r>
  <r>
    <x v="17"/>
    <x v="1"/>
    <x v="3"/>
    <d v="2022-07-07T00:00:00"/>
    <x v="2"/>
    <x v="2"/>
    <n v="2975"/>
    <n v="9"/>
  </r>
  <r>
    <x v="21"/>
    <x v="3"/>
    <x v="20"/>
    <d v="2022-06-17T00:00:00"/>
    <x v="4"/>
    <x v="5"/>
    <n v="4137"/>
    <n v="347"/>
  </r>
  <r>
    <x v="3"/>
    <x v="5"/>
    <x v="20"/>
    <d v="2022-08-02T00:00:00"/>
    <x v="0"/>
    <x v="1"/>
    <n v="9541"/>
    <n v="114"/>
  </r>
  <r>
    <x v="4"/>
    <x v="4"/>
    <x v="19"/>
    <d v="2022-08-12T00:00:00"/>
    <x v="4"/>
    <x v="1"/>
    <n v="8001"/>
    <n v="120"/>
  </r>
  <r>
    <x v="22"/>
    <x v="3"/>
    <x v="2"/>
    <d v="2022-01-28T00:00:00"/>
    <x v="4"/>
    <x v="0"/>
    <n v="5152"/>
    <n v="333"/>
  </r>
  <r>
    <x v="20"/>
    <x v="2"/>
    <x v="7"/>
    <d v="2022-04-29T00:00:00"/>
    <x v="4"/>
    <x v="3"/>
    <n v="11116"/>
    <n v="432"/>
  </r>
  <r>
    <x v="11"/>
    <x v="2"/>
    <x v="15"/>
    <d v="2022-04-05T00:00:00"/>
    <x v="0"/>
    <x v="3"/>
    <n v="13076"/>
    <n v="236"/>
  </r>
  <r>
    <x v="16"/>
    <x v="5"/>
    <x v="15"/>
    <d v="2022-01-18T00:00:00"/>
    <x v="0"/>
    <x v="0"/>
    <n v="10213"/>
    <n v="135"/>
  </r>
  <r>
    <x v="0"/>
    <x v="0"/>
    <x v="19"/>
    <d v="2022-05-16T00:00:00"/>
    <x v="1"/>
    <x v="7"/>
    <n v="2485"/>
    <n v="97"/>
  </r>
  <r>
    <x v="20"/>
    <x v="2"/>
    <x v="14"/>
    <d v="2022-08-24T00:00:00"/>
    <x v="3"/>
    <x v="1"/>
    <n v="8715"/>
    <n v="168"/>
  </r>
  <r>
    <x v="14"/>
    <x v="1"/>
    <x v="1"/>
    <d v="2022-01-18T00:00:00"/>
    <x v="0"/>
    <x v="0"/>
    <n v="273"/>
    <n v="402"/>
  </r>
  <r>
    <x v="16"/>
    <x v="4"/>
    <x v="8"/>
    <d v="2022-08-22T00:00:00"/>
    <x v="1"/>
    <x v="1"/>
    <n v="7623"/>
    <n v="10"/>
  </r>
  <r>
    <x v="5"/>
    <x v="0"/>
    <x v="4"/>
    <d v="2022-03-07T00:00:00"/>
    <x v="1"/>
    <x v="6"/>
    <n v="7"/>
    <n v="84"/>
  </r>
  <r>
    <x v="12"/>
    <x v="0"/>
    <x v="18"/>
    <d v="2022-03-04T00:00:00"/>
    <x v="4"/>
    <x v="6"/>
    <n v="3010"/>
    <n v="69"/>
  </r>
  <r>
    <x v="23"/>
    <x v="5"/>
    <x v="15"/>
    <d v="2022-04-22T00:00:00"/>
    <x v="4"/>
    <x v="3"/>
    <n v="11550"/>
    <n v="111"/>
  </r>
  <r>
    <x v="16"/>
    <x v="2"/>
    <x v="11"/>
    <d v="2022-06-09T00:00:00"/>
    <x v="2"/>
    <x v="5"/>
    <n v="4046"/>
    <n v="89"/>
  </r>
  <r>
    <x v="3"/>
    <x v="5"/>
    <x v="13"/>
    <d v="2022-07-25T00:00:00"/>
    <x v="1"/>
    <x v="2"/>
    <n v="8904"/>
    <n v="199"/>
  </r>
  <r>
    <x v="3"/>
    <x v="1"/>
    <x v="3"/>
    <d v="2022-08-03T00:00:00"/>
    <x v="3"/>
    <x v="1"/>
    <n v="11298"/>
    <n v="89"/>
  </r>
  <r>
    <x v="7"/>
    <x v="2"/>
    <x v="15"/>
    <d v="2022-08-03T00:00:00"/>
    <x v="3"/>
    <x v="1"/>
    <n v="4396"/>
    <n v="131"/>
  </r>
  <r>
    <x v="0"/>
    <x v="0"/>
    <x v="11"/>
    <d v="2022-05-03T00:00:00"/>
    <x v="0"/>
    <x v="7"/>
    <n v="12068"/>
    <n v="227"/>
  </r>
  <r>
    <x v="15"/>
    <x v="5"/>
    <x v="5"/>
    <d v="2022-01-19T00:00:00"/>
    <x v="3"/>
    <x v="0"/>
    <n v="9772"/>
    <n v="301"/>
  </r>
  <r>
    <x v="13"/>
    <x v="4"/>
    <x v="6"/>
    <d v="2022-02-11T00:00:00"/>
    <x v="4"/>
    <x v="4"/>
    <n v="10458"/>
    <n v="316"/>
  </r>
  <r>
    <x v="1"/>
    <x v="1"/>
    <x v="16"/>
    <d v="2022-06-14T00:00:00"/>
    <x v="0"/>
    <x v="5"/>
    <n v="6426"/>
    <n v="390"/>
  </r>
  <r>
    <x v="20"/>
    <x v="4"/>
    <x v="6"/>
    <d v="2022-03-23T00:00:00"/>
    <x v="3"/>
    <x v="6"/>
    <n v="6188"/>
    <n v="223"/>
  </r>
  <r>
    <x v="22"/>
    <x v="5"/>
    <x v="1"/>
    <d v="2022-02-17T00:00:00"/>
    <x v="2"/>
    <x v="4"/>
    <n v="7504"/>
    <n v="101"/>
  </r>
  <r>
    <x v="17"/>
    <x v="5"/>
    <x v="3"/>
    <d v="2022-03-17T00:00:00"/>
    <x v="2"/>
    <x v="6"/>
    <n v="1750"/>
    <n v="479"/>
  </r>
  <r>
    <x v="9"/>
    <x v="2"/>
    <x v="12"/>
    <d v="2022-06-29T00:00:00"/>
    <x v="3"/>
    <x v="5"/>
    <n v="5439"/>
    <n v="287"/>
  </r>
  <r>
    <x v="24"/>
    <x v="5"/>
    <x v="18"/>
    <d v="2022-08-24T00:00:00"/>
    <x v="3"/>
    <x v="1"/>
    <n v="15547"/>
    <n v="269"/>
  </r>
  <r>
    <x v="2"/>
    <x v="5"/>
    <x v="12"/>
    <d v="2022-07-04T00:00:00"/>
    <x v="1"/>
    <x v="2"/>
    <n v="11956"/>
    <n v="277"/>
  </r>
  <r>
    <x v="13"/>
    <x v="3"/>
    <x v="16"/>
    <d v="2022-03-28T00:00:00"/>
    <x v="1"/>
    <x v="6"/>
    <n v="2723"/>
    <n v="67"/>
  </r>
  <r>
    <x v="14"/>
    <x v="1"/>
    <x v="3"/>
    <d v="2022-04-19T00:00:00"/>
    <x v="0"/>
    <x v="3"/>
    <n v="19327"/>
    <n v="135"/>
  </r>
  <r>
    <x v="24"/>
    <x v="3"/>
    <x v="0"/>
    <d v="2022-01-18T00:00:00"/>
    <x v="0"/>
    <x v="0"/>
    <n v="9058"/>
    <n v="229"/>
  </r>
  <r>
    <x v="1"/>
    <x v="3"/>
    <x v="13"/>
    <d v="2022-01-17T00:00:00"/>
    <x v="1"/>
    <x v="0"/>
    <n v="2996"/>
    <n v="88"/>
  </r>
  <r>
    <x v="19"/>
    <x v="3"/>
    <x v="0"/>
    <d v="2022-02-15T00:00:00"/>
    <x v="0"/>
    <x v="4"/>
    <n v="8848"/>
    <n v="211"/>
  </r>
  <r>
    <x v="19"/>
    <x v="0"/>
    <x v="11"/>
    <d v="2022-02-11T00:00:00"/>
    <x v="4"/>
    <x v="4"/>
    <n v="14336"/>
    <n v="293"/>
  </r>
  <r>
    <x v="21"/>
    <x v="4"/>
    <x v="15"/>
    <d v="2022-03-21T00:00:00"/>
    <x v="1"/>
    <x v="6"/>
    <n v="16401"/>
    <n v="179"/>
  </r>
  <r>
    <x v="5"/>
    <x v="3"/>
    <x v="16"/>
    <d v="2022-01-05T00:00:00"/>
    <x v="3"/>
    <x v="0"/>
    <n v="5173"/>
    <n v="129"/>
  </r>
  <r>
    <x v="6"/>
    <x v="1"/>
    <x v="17"/>
    <d v="2022-05-30T00:00:00"/>
    <x v="1"/>
    <x v="7"/>
    <n v="6328"/>
    <n v="164"/>
  </r>
  <r>
    <x v="0"/>
    <x v="4"/>
    <x v="4"/>
    <d v="2022-01-04T00:00:00"/>
    <x v="0"/>
    <x v="0"/>
    <n v="2534"/>
    <n v="219"/>
  </r>
  <r>
    <x v="12"/>
    <x v="2"/>
    <x v="13"/>
    <d v="2022-04-22T00:00:00"/>
    <x v="4"/>
    <x v="3"/>
    <n v="1435"/>
    <n v="258"/>
  </r>
  <r>
    <x v="2"/>
    <x v="5"/>
    <x v="11"/>
    <d v="2022-02-10T00:00:00"/>
    <x v="2"/>
    <x v="4"/>
    <n v="3052"/>
    <n v="116"/>
  </r>
  <r>
    <x v="23"/>
    <x v="1"/>
    <x v="12"/>
    <d v="2022-08-12T00:00:00"/>
    <x v="4"/>
    <x v="1"/>
    <n v="910"/>
    <n v="204"/>
  </r>
  <r>
    <x v="5"/>
    <x v="4"/>
    <x v="10"/>
    <d v="2022-08-10T00:00:00"/>
    <x v="3"/>
    <x v="1"/>
    <n v="2331"/>
    <n v="321"/>
  </r>
  <r>
    <x v="20"/>
    <x v="2"/>
    <x v="17"/>
    <d v="2022-06-07T00:00:00"/>
    <x v="0"/>
    <x v="5"/>
    <n v="679"/>
    <n v="56"/>
  </r>
  <r>
    <x v="0"/>
    <x v="1"/>
    <x v="19"/>
    <d v="2022-06-06T00:00:00"/>
    <x v="1"/>
    <x v="5"/>
    <n v="2086"/>
    <n v="74"/>
  </r>
  <r>
    <x v="10"/>
    <x v="3"/>
    <x v="19"/>
    <d v="2022-04-05T00:00:00"/>
    <x v="0"/>
    <x v="3"/>
    <n v="5012"/>
    <n v="189"/>
  </r>
  <r>
    <x v="18"/>
    <x v="4"/>
    <x v="6"/>
    <d v="2022-04-18T00:00:00"/>
    <x v="1"/>
    <x v="3"/>
    <n v="4501"/>
    <n v="131"/>
  </r>
  <r>
    <x v="19"/>
    <x v="1"/>
    <x v="6"/>
    <d v="2022-01-31T00:00:00"/>
    <x v="1"/>
    <x v="0"/>
    <n v="13482"/>
    <n v="15"/>
  </r>
  <r>
    <x v="22"/>
    <x v="4"/>
    <x v="19"/>
    <d v="2022-08-22T00:00:00"/>
    <x v="1"/>
    <x v="1"/>
    <n v="5621"/>
    <n v="140"/>
  </r>
  <r>
    <x v="0"/>
    <x v="2"/>
    <x v="4"/>
    <d v="2022-02-25T00:00:00"/>
    <x v="4"/>
    <x v="4"/>
    <n v="10486"/>
    <n v="198"/>
  </r>
  <r>
    <x v="3"/>
    <x v="2"/>
    <x v="0"/>
    <d v="2022-02-22T00:00:00"/>
    <x v="0"/>
    <x v="4"/>
    <n v="17626"/>
    <n v="103"/>
  </r>
  <r>
    <x v="4"/>
    <x v="3"/>
    <x v="11"/>
    <d v="2022-01-12T00:00:00"/>
    <x v="3"/>
    <x v="0"/>
    <n v="4494"/>
    <n v="187"/>
  </r>
  <r>
    <x v="6"/>
    <x v="0"/>
    <x v="16"/>
    <d v="2022-05-25T00:00:00"/>
    <x v="3"/>
    <x v="7"/>
    <n v="105"/>
    <n v="125"/>
  </r>
  <r>
    <x v="20"/>
    <x v="1"/>
    <x v="3"/>
    <d v="2022-02-01T00:00:00"/>
    <x v="0"/>
    <x v="4"/>
    <n v="2464"/>
    <n v="8"/>
  </r>
  <r>
    <x v="7"/>
    <x v="0"/>
    <x v="8"/>
    <d v="2022-04-27T00:00:00"/>
    <x v="3"/>
    <x v="3"/>
    <n v="1379"/>
    <n v="70"/>
  </r>
  <r>
    <x v="2"/>
    <x v="4"/>
    <x v="3"/>
    <d v="2022-07-22T00:00:00"/>
    <x v="4"/>
    <x v="2"/>
    <n v="2583"/>
    <n v="126"/>
  </r>
  <r>
    <x v="14"/>
    <x v="3"/>
    <x v="0"/>
    <d v="2022-01-26T00:00:00"/>
    <x v="3"/>
    <x v="0"/>
    <n v="3220"/>
    <n v="265"/>
  </r>
  <r>
    <x v="14"/>
    <x v="4"/>
    <x v="0"/>
    <d v="2022-08-24T00:00:00"/>
    <x v="3"/>
    <x v="1"/>
    <n v="4802"/>
    <n v="296"/>
  </r>
  <r>
    <x v="22"/>
    <x v="3"/>
    <x v="13"/>
    <d v="2022-01-18T00:00:00"/>
    <x v="0"/>
    <x v="0"/>
    <n v="5677"/>
    <n v="21"/>
  </r>
  <r>
    <x v="10"/>
    <x v="1"/>
    <x v="1"/>
    <d v="2022-03-30T00:00:00"/>
    <x v="3"/>
    <x v="6"/>
    <n v="945"/>
    <n v="83"/>
  </r>
  <r>
    <x v="24"/>
    <x v="2"/>
    <x v="20"/>
    <d v="2022-01-17T00:00:00"/>
    <x v="1"/>
    <x v="0"/>
    <n v="8757"/>
    <n v="162"/>
  </r>
  <r>
    <x v="20"/>
    <x v="4"/>
    <x v="13"/>
    <d v="2022-02-17T00:00:00"/>
    <x v="2"/>
    <x v="4"/>
    <n v="4816"/>
    <n v="145"/>
  </r>
  <r>
    <x v="20"/>
    <x v="5"/>
    <x v="2"/>
    <d v="2022-04-08T00:00:00"/>
    <x v="4"/>
    <x v="3"/>
    <n v="7532"/>
    <n v="44"/>
  </r>
  <r>
    <x v="2"/>
    <x v="5"/>
    <x v="9"/>
    <d v="2022-07-06T00:00:00"/>
    <x v="3"/>
    <x v="2"/>
    <n v="3549"/>
    <n v="82"/>
  </r>
  <r>
    <x v="15"/>
    <x v="1"/>
    <x v="13"/>
    <d v="2022-04-04T00:00:00"/>
    <x v="1"/>
    <x v="3"/>
    <n v="4340"/>
    <n v="226"/>
  </r>
  <r>
    <x v="3"/>
    <x v="3"/>
    <x v="10"/>
    <d v="2022-03-02T00:00:00"/>
    <x v="3"/>
    <x v="6"/>
    <n v="1799"/>
    <n v="207"/>
  </r>
  <r>
    <x v="2"/>
    <x v="3"/>
    <x v="17"/>
    <d v="2022-08-09T00:00:00"/>
    <x v="0"/>
    <x v="1"/>
    <n v="1127"/>
    <n v="176"/>
  </r>
  <r>
    <x v="17"/>
    <x v="2"/>
    <x v="11"/>
    <d v="2022-06-09T00:00:00"/>
    <x v="2"/>
    <x v="5"/>
    <n v="10038"/>
    <n v="286"/>
  </r>
  <r>
    <x v="24"/>
    <x v="0"/>
    <x v="20"/>
    <d v="2022-06-02T00:00:00"/>
    <x v="2"/>
    <x v="5"/>
    <n v="2926"/>
    <n v="300"/>
  </r>
  <r>
    <x v="1"/>
    <x v="4"/>
    <x v="13"/>
    <d v="2022-07-05T00:00:00"/>
    <x v="0"/>
    <x v="2"/>
    <n v="6279"/>
    <n v="235"/>
  </r>
  <r>
    <x v="19"/>
    <x v="5"/>
    <x v="8"/>
    <d v="2022-08-11T00:00:00"/>
    <x v="2"/>
    <x v="1"/>
    <n v="308"/>
    <n v="125"/>
  </r>
  <r>
    <x v="22"/>
    <x v="1"/>
    <x v="18"/>
    <d v="2022-02-11T00:00:00"/>
    <x v="4"/>
    <x v="4"/>
    <n v="3500"/>
    <n v="145"/>
  </r>
  <r>
    <x v="20"/>
    <x v="3"/>
    <x v="12"/>
    <d v="2022-08-11T00:00:00"/>
    <x v="2"/>
    <x v="1"/>
    <n v="658"/>
    <n v="65"/>
  </r>
  <r>
    <x v="13"/>
    <x v="2"/>
    <x v="9"/>
    <d v="2022-05-12T00:00:00"/>
    <x v="2"/>
    <x v="7"/>
    <n v="12565"/>
    <n v="102"/>
  </r>
  <r>
    <x v="18"/>
    <x v="4"/>
    <x v="11"/>
    <d v="2022-07-15T00:00:00"/>
    <x v="4"/>
    <x v="2"/>
    <n v="5012"/>
    <n v="93"/>
  </r>
  <r>
    <x v="19"/>
    <x v="1"/>
    <x v="10"/>
    <d v="2022-01-18T00:00:00"/>
    <x v="0"/>
    <x v="0"/>
    <n v="3955"/>
    <n v="134"/>
  </r>
  <r>
    <x v="22"/>
    <x v="0"/>
    <x v="13"/>
    <d v="2022-01-05T00:00:00"/>
    <x v="3"/>
    <x v="0"/>
    <n v="8512"/>
    <n v="189"/>
  </r>
  <r>
    <x v="14"/>
    <x v="2"/>
    <x v="6"/>
    <d v="2022-06-29T00:00:00"/>
    <x v="3"/>
    <x v="5"/>
    <n v="504"/>
    <n v="232"/>
  </r>
  <r>
    <x v="6"/>
    <x v="5"/>
    <x v="17"/>
    <d v="2022-06-14T00:00:00"/>
    <x v="0"/>
    <x v="5"/>
    <n v="2800"/>
    <n v="45"/>
  </r>
  <r>
    <x v="5"/>
    <x v="1"/>
    <x v="0"/>
    <d v="2022-08-08T00:00:00"/>
    <x v="1"/>
    <x v="1"/>
    <n v="4256"/>
    <n v="67"/>
  </r>
  <r>
    <x v="17"/>
    <x v="1"/>
    <x v="0"/>
    <d v="2022-03-23T00:00:00"/>
    <x v="3"/>
    <x v="6"/>
    <n v="13573"/>
    <n v="138"/>
  </r>
  <r>
    <x v="8"/>
    <x v="1"/>
    <x v="20"/>
    <d v="2022-01-04T00:00:00"/>
    <x v="0"/>
    <x v="0"/>
    <n v="6566"/>
    <n v="99"/>
  </r>
  <r>
    <x v="6"/>
    <x v="1"/>
    <x v="11"/>
    <d v="2022-02-22T00:00:00"/>
    <x v="0"/>
    <x v="4"/>
    <n v="13503"/>
    <n v="251"/>
  </r>
  <r>
    <x v="12"/>
    <x v="0"/>
    <x v="12"/>
    <d v="2022-02-17T00:00:00"/>
    <x v="2"/>
    <x v="4"/>
    <n v="8680"/>
    <n v="252"/>
  </r>
  <r>
    <x v="8"/>
    <x v="4"/>
    <x v="16"/>
    <d v="2022-02-03T00:00:00"/>
    <x v="2"/>
    <x v="4"/>
    <n v="385"/>
    <n v="78"/>
  </r>
  <r>
    <x v="1"/>
    <x v="5"/>
    <x v="17"/>
    <d v="2022-03-17T00:00:00"/>
    <x v="2"/>
    <x v="6"/>
    <n v="1267"/>
    <n v="130"/>
  </r>
  <r>
    <x v="18"/>
    <x v="2"/>
    <x v="19"/>
    <d v="2022-01-25T00:00:00"/>
    <x v="0"/>
    <x v="0"/>
    <n v="2961"/>
    <n v="154"/>
  </r>
  <r>
    <x v="6"/>
    <x v="2"/>
    <x v="11"/>
    <d v="2022-07-27T00:00:00"/>
    <x v="3"/>
    <x v="2"/>
    <n v="1981"/>
    <n v="52"/>
  </r>
  <r>
    <x v="15"/>
    <x v="2"/>
    <x v="13"/>
    <d v="2022-01-28T00:00:00"/>
    <x v="4"/>
    <x v="0"/>
    <n v="7959"/>
    <n v="53"/>
  </r>
  <r>
    <x v="22"/>
    <x v="2"/>
    <x v="10"/>
    <d v="2022-07-05T00:00:00"/>
    <x v="0"/>
    <x v="2"/>
    <n v="10794"/>
    <n v="50"/>
  </r>
  <r>
    <x v="1"/>
    <x v="1"/>
    <x v="14"/>
    <d v="2022-03-15T00:00:00"/>
    <x v="0"/>
    <x v="6"/>
    <n v="1897"/>
    <n v="44"/>
  </r>
  <r>
    <x v="5"/>
    <x v="5"/>
    <x v="5"/>
    <d v="2022-08-04T00:00:00"/>
    <x v="2"/>
    <x v="1"/>
    <n v="2744"/>
    <n v="200"/>
  </r>
  <r>
    <x v="3"/>
    <x v="4"/>
    <x v="13"/>
    <d v="2022-06-27T00:00:00"/>
    <x v="1"/>
    <x v="5"/>
    <n v="4382"/>
    <n v="361"/>
  </r>
  <r>
    <x v="3"/>
    <x v="5"/>
    <x v="5"/>
    <d v="2022-07-13T00:00:00"/>
    <x v="3"/>
    <x v="2"/>
    <n v="4515"/>
    <n v="172"/>
  </r>
  <r>
    <x v="8"/>
    <x v="3"/>
    <x v="15"/>
    <d v="2022-02-24T00:00:00"/>
    <x v="2"/>
    <x v="4"/>
    <n v="5474"/>
    <n v="239"/>
  </r>
  <r>
    <x v="10"/>
    <x v="3"/>
    <x v="1"/>
    <d v="2022-06-28T00:00:00"/>
    <x v="0"/>
    <x v="5"/>
    <n v="6069"/>
    <n v="55"/>
  </r>
  <r>
    <x v="4"/>
    <x v="2"/>
    <x v="1"/>
    <d v="2022-06-30T00:00:00"/>
    <x v="2"/>
    <x v="5"/>
    <n v="6944"/>
    <n v="27"/>
  </r>
  <r>
    <x v="14"/>
    <x v="5"/>
    <x v="18"/>
    <d v="2022-08-18T00:00:00"/>
    <x v="2"/>
    <x v="1"/>
    <n v="5859"/>
    <n v="7"/>
  </r>
  <r>
    <x v="16"/>
    <x v="1"/>
    <x v="21"/>
    <d v="2022-01-24T00:00:00"/>
    <x v="1"/>
    <x v="0"/>
    <n v="12173"/>
    <n v="301"/>
  </r>
  <r>
    <x v="12"/>
    <x v="4"/>
    <x v="14"/>
    <d v="2022-03-11T00:00:00"/>
    <x v="4"/>
    <x v="6"/>
    <n v="5292"/>
    <n v="134"/>
  </r>
  <r>
    <x v="24"/>
    <x v="3"/>
    <x v="5"/>
    <d v="2022-06-23T00:00:00"/>
    <x v="2"/>
    <x v="5"/>
    <n v="5705"/>
    <n v="350"/>
  </r>
  <r>
    <x v="15"/>
    <x v="1"/>
    <x v="12"/>
    <d v="2022-08-22T00:00:00"/>
    <x v="1"/>
    <x v="1"/>
    <n v="2492"/>
    <n v="33"/>
  </r>
  <r>
    <x v="5"/>
    <x v="5"/>
    <x v="6"/>
    <d v="2022-01-04T00:00:00"/>
    <x v="0"/>
    <x v="0"/>
    <n v="3024"/>
    <n v="23"/>
  </r>
  <r>
    <x v="14"/>
    <x v="1"/>
    <x v="11"/>
    <d v="2022-04-05T00:00:00"/>
    <x v="0"/>
    <x v="3"/>
    <n v="3437"/>
    <n v="201"/>
  </r>
  <r>
    <x v="12"/>
    <x v="1"/>
    <x v="11"/>
    <d v="2022-04-15T00:00:00"/>
    <x v="4"/>
    <x v="3"/>
    <n v="1869"/>
    <n v="323"/>
  </r>
  <r>
    <x v="15"/>
    <x v="2"/>
    <x v="14"/>
    <d v="2022-05-11T00:00:00"/>
    <x v="3"/>
    <x v="7"/>
    <n v="3171"/>
    <n v="220"/>
  </r>
  <r>
    <x v="19"/>
    <x v="5"/>
    <x v="15"/>
    <d v="2022-07-21T00:00:00"/>
    <x v="2"/>
    <x v="2"/>
    <n v="4858"/>
    <n v="488"/>
  </r>
  <r>
    <x v="3"/>
    <x v="3"/>
    <x v="7"/>
    <d v="2022-02-11T00:00:00"/>
    <x v="4"/>
    <x v="4"/>
    <n v="1225"/>
    <n v="84"/>
  </r>
  <r>
    <x v="19"/>
    <x v="5"/>
    <x v="3"/>
    <d v="2022-07-08T00:00:00"/>
    <x v="4"/>
    <x v="2"/>
    <n v="1155"/>
    <n v="79"/>
  </r>
  <r>
    <x v="5"/>
    <x v="0"/>
    <x v="17"/>
    <d v="2022-08-11T00:00:00"/>
    <x v="2"/>
    <x v="1"/>
    <n v="6811"/>
    <n v="344"/>
  </r>
  <r>
    <x v="15"/>
    <x v="3"/>
    <x v="5"/>
    <d v="2022-08-04T00:00:00"/>
    <x v="2"/>
    <x v="1"/>
    <n v="6433"/>
    <n v="7"/>
  </r>
  <r>
    <x v="19"/>
    <x v="3"/>
    <x v="7"/>
    <d v="2022-06-14T00:00:00"/>
    <x v="0"/>
    <x v="5"/>
    <n v="8169"/>
    <n v="88"/>
  </r>
  <r>
    <x v="17"/>
    <x v="0"/>
    <x v="19"/>
    <d v="2022-01-17T00:00:00"/>
    <x v="1"/>
    <x v="0"/>
    <n v="2275"/>
    <n v="275"/>
  </r>
  <r>
    <x v="0"/>
    <x v="5"/>
    <x v="7"/>
    <d v="2022-06-23T00:00:00"/>
    <x v="2"/>
    <x v="5"/>
    <n v="3857"/>
    <n v="512"/>
  </r>
  <r>
    <x v="0"/>
    <x v="0"/>
    <x v="3"/>
    <d v="2022-08-24T00:00:00"/>
    <x v="3"/>
    <x v="1"/>
    <n v="1463"/>
    <n v="113"/>
  </r>
  <r>
    <x v="19"/>
    <x v="0"/>
    <x v="20"/>
    <d v="2022-06-07T00:00:00"/>
    <x v="0"/>
    <x v="5"/>
    <n v="7924"/>
    <n v="275"/>
  </r>
  <r>
    <x v="3"/>
    <x v="0"/>
    <x v="14"/>
    <d v="2022-06-22T00:00:00"/>
    <x v="3"/>
    <x v="5"/>
    <n v="8799"/>
    <n v="47"/>
  </r>
  <r>
    <x v="23"/>
    <x v="4"/>
    <x v="13"/>
    <d v="2022-07-13T00:00:00"/>
    <x v="3"/>
    <x v="2"/>
    <n v="2898"/>
    <n v="276"/>
  </r>
  <r>
    <x v="20"/>
    <x v="0"/>
    <x v="18"/>
    <d v="2022-05-24T00:00:00"/>
    <x v="0"/>
    <x v="7"/>
    <n v="9506"/>
    <n v="212"/>
  </r>
  <r>
    <x v="5"/>
    <x v="3"/>
    <x v="5"/>
    <d v="2022-08-09T00:00:00"/>
    <x v="0"/>
    <x v="1"/>
    <n v="7175"/>
    <n v="145"/>
  </r>
  <r>
    <x v="16"/>
    <x v="5"/>
    <x v="1"/>
    <d v="2022-04-06T00:00:00"/>
    <x v="3"/>
    <x v="3"/>
    <n v="1729"/>
    <n v="31"/>
  </r>
  <r>
    <x v="3"/>
    <x v="3"/>
    <x v="15"/>
    <d v="2022-07-28T00:00:00"/>
    <x v="2"/>
    <x v="2"/>
    <n v="1589"/>
    <n v="271"/>
  </r>
  <r>
    <x v="5"/>
    <x v="3"/>
    <x v="17"/>
    <d v="2022-08-24T00:00:00"/>
    <x v="3"/>
    <x v="1"/>
    <n v="630"/>
    <n v="52"/>
  </r>
  <r>
    <x v="1"/>
    <x v="2"/>
    <x v="4"/>
    <d v="2022-01-17T00:00:00"/>
    <x v="1"/>
    <x v="0"/>
    <n v="112"/>
    <n v="128"/>
  </r>
  <r>
    <x v="14"/>
    <x v="4"/>
    <x v="9"/>
    <d v="2022-02-07T00:00:00"/>
    <x v="1"/>
    <x v="4"/>
    <n v="5187"/>
    <n v="142"/>
  </r>
  <r>
    <x v="6"/>
    <x v="2"/>
    <x v="12"/>
    <d v="2022-05-09T00:00:00"/>
    <x v="1"/>
    <x v="7"/>
    <n v="6223"/>
    <n v="256"/>
  </r>
  <r>
    <x v="9"/>
    <x v="3"/>
    <x v="1"/>
    <d v="2022-06-06T00:00:00"/>
    <x v="1"/>
    <x v="5"/>
    <n v="7714"/>
    <n v="106"/>
  </r>
  <r>
    <x v="18"/>
    <x v="4"/>
    <x v="18"/>
    <d v="2022-06-06T00:00:00"/>
    <x v="1"/>
    <x v="5"/>
    <n v="9457"/>
    <n v="6"/>
  </r>
  <r>
    <x v="12"/>
    <x v="3"/>
    <x v="10"/>
    <d v="2022-05-24T00:00:00"/>
    <x v="0"/>
    <x v="7"/>
    <n v="6678"/>
    <n v="226"/>
  </r>
  <r>
    <x v="5"/>
    <x v="0"/>
    <x v="6"/>
    <d v="2022-01-13T00:00:00"/>
    <x v="2"/>
    <x v="0"/>
    <n v="2107"/>
    <n v="121"/>
  </r>
  <r>
    <x v="11"/>
    <x v="4"/>
    <x v="17"/>
    <d v="2022-05-23T00:00:00"/>
    <x v="1"/>
    <x v="7"/>
    <n v="6069"/>
    <n v="151"/>
  </r>
  <r>
    <x v="0"/>
    <x v="0"/>
    <x v="14"/>
    <d v="2022-06-29T00:00:00"/>
    <x v="3"/>
    <x v="5"/>
    <n v="1862"/>
    <n v="284"/>
  </r>
  <r>
    <x v="0"/>
    <x v="3"/>
    <x v="1"/>
    <d v="2022-03-11T00:00:00"/>
    <x v="4"/>
    <x v="6"/>
    <n v="6972"/>
    <n v="89"/>
  </r>
  <r>
    <x v="23"/>
    <x v="4"/>
    <x v="1"/>
    <d v="2022-04-25T00:00:00"/>
    <x v="1"/>
    <x v="3"/>
    <n v="10220"/>
    <n v="508"/>
  </r>
  <r>
    <x v="7"/>
    <x v="2"/>
    <x v="3"/>
    <d v="2022-05-30T00:00:00"/>
    <x v="1"/>
    <x v="7"/>
    <n v="3969"/>
    <n v="243"/>
  </r>
  <r>
    <x v="14"/>
    <x v="1"/>
    <x v="15"/>
    <d v="2022-05-23T00:00:00"/>
    <x v="1"/>
    <x v="7"/>
    <n v="1547"/>
    <n v="170"/>
  </r>
  <r>
    <x v="9"/>
    <x v="4"/>
    <x v="2"/>
    <d v="2022-05-23T00:00:00"/>
    <x v="1"/>
    <x v="7"/>
    <n v="1162"/>
    <n v="18"/>
  </r>
  <r>
    <x v="1"/>
    <x v="5"/>
    <x v="2"/>
    <d v="2022-06-24T00:00:00"/>
    <x v="4"/>
    <x v="5"/>
    <n v="6342"/>
    <n v="282"/>
  </r>
  <r>
    <x v="20"/>
    <x v="3"/>
    <x v="3"/>
    <d v="2022-03-11T00:00:00"/>
    <x v="4"/>
    <x v="6"/>
    <n v="10633"/>
    <n v="277"/>
  </r>
  <r>
    <x v="7"/>
    <x v="4"/>
    <x v="3"/>
    <d v="2022-07-27T00:00:00"/>
    <x v="3"/>
    <x v="2"/>
    <n v="15057"/>
    <n v="212"/>
  </r>
  <r>
    <x v="7"/>
    <x v="4"/>
    <x v="14"/>
    <d v="2022-08-16T00:00:00"/>
    <x v="0"/>
    <x v="1"/>
    <n v="4704"/>
    <n v="126"/>
  </r>
  <r>
    <x v="13"/>
    <x v="5"/>
    <x v="3"/>
    <d v="2022-03-07T00:00:00"/>
    <x v="1"/>
    <x v="6"/>
    <n v="9338"/>
    <n v="11"/>
  </r>
  <r>
    <x v="14"/>
    <x v="3"/>
    <x v="5"/>
    <d v="2022-04-05T00:00:00"/>
    <x v="0"/>
    <x v="3"/>
    <n v="7959"/>
    <n v="30"/>
  </r>
  <r>
    <x v="21"/>
    <x v="1"/>
    <x v="1"/>
    <d v="2022-05-04T00:00:00"/>
    <x v="3"/>
    <x v="7"/>
    <n v="9023"/>
    <n v="51"/>
  </r>
  <r>
    <x v="24"/>
    <x v="4"/>
    <x v="18"/>
    <d v="2022-01-04T00:00:00"/>
    <x v="0"/>
    <x v="0"/>
    <n v="14525"/>
    <n v="92"/>
  </r>
  <r>
    <x v="11"/>
    <x v="2"/>
    <x v="19"/>
    <d v="2022-01-13T00:00:00"/>
    <x v="2"/>
    <x v="0"/>
    <n v="5810"/>
    <n v="101"/>
  </r>
  <r>
    <x v="18"/>
    <x v="3"/>
    <x v="13"/>
    <d v="2022-07-11T00:00:00"/>
    <x v="1"/>
    <x v="2"/>
    <n v="6426"/>
    <n v="98"/>
  </r>
  <r>
    <x v="16"/>
    <x v="2"/>
    <x v="0"/>
    <d v="2022-05-17T00:00:00"/>
    <x v="0"/>
    <x v="7"/>
    <n v="4403"/>
    <n v="159"/>
  </r>
  <r>
    <x v="21"/>
    <x v="3"/>
    <x v="2"/>
    <d v="2022-07-21T00:00:00"/>
    <x v="2"/>
    <x v="2"/>
    <n v="1582"/>
    <n v="62"/>
  </r>
  <r>
    <x v="14"/>
    <x v="5"/>
    <x v="10"/>
    <d v="2022-02-22T00:00:00"/>
    <x v="0"/>
    <x v="4"/>
    <n v="791"/>
    <n v="22"/>
  </r>
  <r>
    <x v="3"/>
    <x v="1"/>
    <x v="4"/>
    <d v="2022-05-23T00:00:00"/>
    <x v="1"/>
    <x v="7"/>
    <n v="9100"/>
    <n v="187"/>
  </r>
  <r>
    <x v="7"/>
    <x v="5"/>
    <x v="9"/>
    <d v="2022-07-12T00:00:00"/>
    <x v="0"/>
    <x v="2"/>
    <n v="9884"/>
    <n v="200"/>
  </r>
  <r>
    <x v="3"/>
    <x v="0"/>
    <x v="7"/>
    <d v="2022-06-15T00:00:00"/>
    <x v="3"/>
    <x v="5"/>
    <n v="3780"/>
    <n v="201"/>
  </r>
  <r>
    <x v="8"/>
    <x v="3"/>
    <x v="6"/>
    <d v="2022-06-23T00:00:00"/>
    <x v="2"/>
    <x v="5"/>
    <n v="4557"/>
    <n v="308"/>
  </r>
  <r>
    <x v="14"/>
    <x v="2"/>
    <x v="8"/>
    <d v="2022-03-25T00:00:00"/>
    <x v="4"/>
    <x v="6"/>
    <n v="5796"/>
    <n v="55"/>
  </r>
  <r>
    <x v="3"/>
    <x v="1"/>
    <x v="20"/>
    <d v="2022-07-04T00:00:00"/>
    <x v="1"/>
    <x v="2"/>
    <n v="84"/>
    <n v="153"/>
  </r>
  <r>
    <x v="19"/>
    <x v="0"/>
    <x v="14"/>
    <d v="2022-05-12T00:00:00"/>
    <x v="2"/>
    <x v="7"/>
    <n v="9037"/>
    <n v="101"/>
  </r>
  <r>
    <x v="21"/>
    <x v="3"/>
    <x v="17"/>
    <d v="2022-04-04T00:00:00"/>
    <x v="1"/>
    <x v="3"/>
    <n v="4746"/>
    <n v="137"/>
  </r>
  <r>
    <x v="22"/>
    <x v="2"/>
    <x v="7"/>
    <d v="2022-04-15T00:00:00"/>
    <x v="4"/>
    <x v="3"/>
    <n v="6713"/>
    <n v="398"/>
  </r>
  <r>
    <x v="13"/>
    <x v="5"/>
    <x v="8"/>
    <d v="2022-03-08T00:00:00"/>
    <x v="0"/>
    <x v="6"/>
    <n v="6237"/>
    <n v="88"/>
  </r>
  <r>
    <x v="10"/>
    <x v="1"/>
    <x v="14"/>
    <d v="2022-01-17T00:00:00"/>
    <x v="1"/>
    <x v="0"/>
    <n v="7483"/>
    <n v="232"/>
  </r>
  <r>
    <x v="18"/>
    <x v="1"/>
    <x v="0"/>
    <d v="2022-08-22T00:00:00"/>
    <x v="1"/>
    <x v="1"/>
    <n v="1309"/>
    <n v="51"/>
  </r>
  <r>
    <x v="19"/>
    <x v="0"/>
    <x v="4"/>
    <d v="2022-07-25T00:00:00"/>
    <x v="1"/>
    <x v="2"/>
    <n v="1155"/>
    <n v="66"/>
  </r>
  <r>
    <x v="11"/>
    <x v="0"/>
    <x v="6"/>
    <d v="2022-06-14T00:00:00"/>
    <x v="0"/>
    <x v="5"/>
    <n v="2989"/>
    <n v="124"/>
  </r>
  <r>
    <x v="24"/>
    <x v="1"/>
    <x v="18"/>
    <d v="2022-04-05T00:00:00"/>
    <x v="0"/>
    <x v="3"/>
    <n v="9625"/>
    <n v="78"/>
  </r>
  <r>
    <x v="22"/>
    <x v="0"/>
    <x v="17"/>
    <d v="2022-08-26T00:00:00"/>
    <x v="4"/>
    <x v="1"/>
    <n v="7357"/>
    <n v="341"/>
  </r>
  <r>
    <x v="18"/>
    <x v="2"/>
    <x v="6"/>
    <d v="2022-08-03T00:00:00"/>
    <x v="3"/>
    <x v="1"/>
    <n v="10031"/>
    <n v="114"/>
  </r>
  <r>
    <x v="2"/>
    <x v="5"/>
    <x v="14"/>
    <d v="2022-07-11T00:00:00"/>
    <x v="1"/>
    <x v="2"/>
    <n v="6587"/>
    <n v="4"/>
  </r>
  <r>
    <x v="18"/>
    <x v="3"/>
    <x v="8"/>
    <d v="2022-03-11T00:00:00"/>
    <x v="4"/>
    <x v="6"/>
    <n v="3311"/>
    <n v="22"/>
  </r>
  <r>
    <x v="6"/>
    <x v="0"/>
    <x v="2"/>
    <d v="2022-01-10T00:00:00"/>
    <x v="1"/>
    <x v="0"/>
    <n v="15330"/>
    <n v="30"/>
  </r>
  <r>
    <x v="13"/>
    <x v="0"/>
    <x v="19"/>
    <d v="2022-04-04T00:00:00"/>
    <x v="1"/>
    <x v="3"/>
    <n v="14028"/>
    <n v="351"/>
  </r>
  <r>
    <x v="10"/>
    <x v="2"/>
    <x v="6"/>
    <d v="2022-01-17T00:00:00"/>
    <x v="1"/>
    <x v="0"/>
    <n v="6678"/>
    <n v="708"/>
  </r>
  <r>
    <x v="11"/>
    <x v="3"/>
    <x v="10"/>
    <d v="2022-07-08T00:00:00"/>
    <x v="4"/>
    <x v="2"/>
    <n v="8624"/>
    <n v="50"/>
  </r>
  <r>
    <x v="3"/>
    <x v="0"/>
    <x v="10"/>
    <d v="2022-04-12T00:00:00"/>
    <x v="0"/>
    <x v="3"/>
    <n v="1197"/>
    <n v="356"/>
  </r>
  <r>
    <x v="7"/>
    <x v="5"/>
    <x v="13"/>
    <d v="2022-08-24T00:00:00"/>
    <x v="3"/>
    <x v="1"/>
    <n v="483"/>
    <n v="185"/>
  </r>
  <r>
    <x v="24"/>
    <x v="0"/>
    <x v="18"/>
    <d v="2022-06-07T00:00:00"/>
    <x v="0"/>
    <x v="5"/>
    <n v="1687"/>
    <n v="236"/>
  </r>
  <r>
    <x v="5"/>
    <x v="5"/>
    <x v="16"/>
    <d v="2022-07-28T00:00:00"/>
    <x v="2"/>
    <x v="2"/>
    <n v="1309"/>
    <n v="30"/>
  </r>
  <r>
    <x v="15"/>
    <x v="4"/>
    <x v="4"/>
    <d v="2022-02-21T00:00:00"/>
    <x v="1"/>
    <x v="4"/>
    <n v="9534"/>
    <n v="111"/>
  </r>
  <r>
    <x v="17"/>
    <x v="5"/>
    <x v="0"/>
    <d v="2022-04-08T00:00:00"/>
    <x v="4"/>
    <x v="3"/>
    <n v="1694"/>
    <n v="289"/>
  </r>
  <r>
    <x v="6"/>
    <x v="0"/>
    <x v="15"/>
    <d v="2022-06-28T00:00:00"/>
    <x v="0"/>
    <x v="5"/>
    <n v="70"/>
    <n v="103"/>
  </r>
  <r>
    <x v="1"/>
    <x v="0"/>
    <x v="19"/>
    <d v="2022-03-24T00:00:00"/>
    <x v="2"/>
    <x v="6"/>
    <n v="2443"/>
    <n v="20"/>
  </r>
  <r>
    <x v="8"/>
    <x v="2"/>
    <x v="20"/>
    <d v="2022-07-29T00:00:00"/>
    <x v="4"/>
    <x v="2"/>
    <n v="2933"/>
    <n v="55"/>
  </r>
  <r>
    <x v="17"/>
    <x v="4"/>
    <x v="8"/>
    <d v="2022-05-25T00:00:00"/>
    <x v="3"/>
    <x v="7"/>
    <n v="2044"/>
    <n v="90"/>
  </r>
  <r>
    <x v="2"/>
    <x v="2"/>
    <x v="17"/>
    <d v="2022-03-30T00:00:00"/>
    <x v="3"/>
    <x v="6"/>
    <n v="6524"/>
    <n v="303"/>
  </r>
  <r>
    <x v="17"/>
    <x v="4"/>
    <x v="10"/>
    <d v="2022-07-18T00:00:00"/>
    <x v="1"/>
    <x v="2"/>
    <n v="12656"/>
    <n v="126"/>
  </r>
  <r>
    <x v="12"/>
    <x v="5"/>
    <x v="7"/>
    <d v="2022-05-10T00:00:00"/>
    <x v="0"/>
    <x v="7"/>
    <n v="8722"/>
    <n v="109"/>
  </r>
  <r>
    <x v="9"/>
    <x v="2"/>
    <x v="18"/>
    <d v="2022-03-18T00:00:00"/>
    <x v="4"/>
    <x v="6"/>
    <n v="15750"/>
    <n v="92"/>
  </r>
  <r>
    <x v="24"/>
    <x v="1"/>
    <x v="20"/>
    <d v="2022-06-15T00:00:00"/>
    <x v="3"/>
    <x v="5"/>
    <n v="6839"/>
    <n v="56"/>
  </r>
  <r>
    <x v="1"/>
    <x v="5"/>
    <x v="6"/>
    <d v="2022-05-12T00:00:00"/>
    <x v="2"/>
    <x v="7"/>
    <n v="13685"/>
    <n v="58"/>
  </r>
  <r>
    <x v="20"/>
    <x v="3"/>
    <x v="19"/>
    <d v="2022-06-23T00:00:00"/>
    <x v="2"/>
    <x v="5"/>
    <n v="2912"/>
    <n v="110"/>
  </r>
  <r>
    <x v="12"/>
    <x v="1"/>
    <x v="12"/>
    <d v="2022-04-21T00:00:00"/>
    <x v="2"/>
    <x v="3"/>
    <n v="3339"/>
    <n v="171"/>
  </r>
  <r>
    <x v="2"/>
    <x v="2"/>
    <x v="16"/>
    <d v="2022-08-17T00:00:00"/>
    <x v="3"/>
    <x v="1"/>
    <n v="910"/>
    <n v="117"/>
  </r>
  <r>
    <x v="7"/>
    <x v="3"/>
    <x v="8"/>
    <d v="2022-02-07T00:00:00"/>
    <x v="1"/>
    <x v="4"/>
    <n v="19481"/>
    <n v="51"/>
  </r>
  <r>
    <x v="20"/>
    <x v="5"/>
    <x v="3"/>
    <d v="2022-03-17T00:00:00"/>
    <x v="2"/>
    <x v="6"/>
    <n v="8099"/>
    <n v="118"/>
  </r>
  <r>
    <x v="3"/>
    <x v="1"/>
    <x v="19"/>
    <d v="2022-08-01T00:00:00"/>
    <x v="1"/>
    <x v="1"/>
    <n v="13727"/>
    <n v="79"/>
  </r>
  <r>
    <x v="0"/>
    <x v="2"/>
    <x v="11"/>
    <d v="2022-03-18T00:00:00"/>
    <x v="4"/>
    <x v="6"/>
    <n v="8659"/>
    <n v="29"/>
  </r>
  <r>
    <x v="2"/>
    <x v="5"/>
    <x v="13"/>
    <d v="2022-06-14T00:00:00"/>
    <x v="0"/>
    <x v="5"/>
    <n v="5782"/>
    <n v="103"/>
  </r>
  <r>
    <x v="12"/>
    <x v="0"/>
    <x v="8"/>
    <d v="2022-04-22T00:00:00"/>
    <x v="4"/>
    <x v="3"/>
    <n v="8463"/>
    <n v="155"/>
  </r>
  <r>
    <x v="11"/>
    <x v="3"/>
    <x v="8"/>
    <d v="2022-01-18T00:00:00"/>
    <x v="0"/>
    <x v="0"/>
    <n v="4914"/>
    <n v="31"/>
  </r>
  <r>
    <x v="15"/>
    <x v="2"/>
    <x v="4"/>
    <d v="2022-08-26T00:00:00"/>
    <x v="4"/>
    <x v="1"/>
    <n v="3087"/>
    <n v="128"/>
  </r>
  <r>
    <x v="5"/>
    <x v="3"/>
    <x v="13"/>
    <d v="2022-06-10T00:00:00"/>
    <x v="4"/>
    <x v="5"/>
    <n v="9205"/>
    <n v="419"/>
  </r>
  <r>
    <x v="14"/>
    <x v="5"/>
    <x v="21"/>
    <d v="2022-01-31T00:00:00"/>
    <x v="1"/>
    <x v="0"/>
    <n v="2303"/>
    <n v="7"/>
  </r>
  <r>
    <x v="20"/>
    <x v="3"/>
    <x v="15"/>
    <d v="2022-04-08T00:00:00"/>
    <x v="4"/>
    <x v="3"/>
    <n v="1358"/>
    <n v="106"/>
  </r>
  <r>
    <x v="23"/>
    <x v="2"/>
    <x v="19"/>
    <d v="2022-06-07T00:00:00"/>
    <x v="0"/>
    <x v="5"/>
    <n v="3605"/>
    <n v="68"/>
  </r>
  <r>
    <x v="8"/>
    <x v="2"/>
    <x v="1"/>
    <d v="2022-02-10T00:00:00"/>
    <x v="2"/>
    <x v="4"/>
    <n v="8498"/>
    <n v="44"/>
  </r>
  <r>
    <x v="12"/>
    <x v="2"/>
    <x v="6"/>
    <d v="2022-05-16T00:00:00"/>
    <x v="1"/>
    <x v="7"/>
    <n v="700"/>
    <n v="457"/>
  </r>
  <r>
    <x v="5"/>
    <x v="1"/>
    <x v="19"/>
    <d v="2022-03-18T00:00:00"/>
    <x v="4"/>
    <x v="6"/>
    <n v="2191"/>
    <n v="524"/>
  </r>
  <r>
    <x v="1"/>
    <x v="2"/>
    <x v="6"/>
    <d v="2022-07-13T00:00:00"/>
    <x v="3"/>
    <x v="2"/>
    <n v="644"/>
    <n v="137"/>
  </r>
  <r>
    <x v="4"/>
    <x v="4"/>
    <x v="15"/>
    <d v="2022-07-25T00:00:00"/>
    <x v="1"/>
    <x v="2"/>
    <n v="4340"/>
    <n v="86"/>
  </r>
  <r>
    <x v="1"/>
    <x v="5"/>
    <x v="18"/>
    <d v="2022-08-19T00:00:00"/>
    <x v="4"/>
    <x v="1"/>
    <n v="2282"/>
    <n v="296"/>
  </r>
  <r>
    <x v="10"/>
    <x v="5"/>
    <x v="21"/>
    <d v="2022-06-24T00:00:00"/>
    <x v="4"/>
    <x v="5"/>
    <n v="7714"/>
    <n v="597"/>
  </r>
  <r>
    <x v="20"/>
    <x v="5"/>
    <x v="13"/>
    <d v="2022-06-20T00:00:00"/>
    <x v="1"/>
    <x v="5"/>
    <n v="826"/>
    <n v="149"/>
  </r>
  <r>
    <x v="21"/>
    <x v="1"/>
    <x v="4"/>
    <d v="2022-08-02T00:00:00"/>
    <x v="0"/>
    <x v="1"/>
    <n v="203"/>
    <n v="207"/>
  </r>
  <r>
    <x v="22"/>
    <x v="3"/>
    <x v="21"/>
    <d v="2022-02-22T00:00:00"/>
    <x v="0"/>
    <x v="4"/>
    <n v="13356"/>
    <n v="93"/>
  </r>
  <r>
    <x v="9"/>
    <x v="3"/>
    <x v="7"/>
    <d v="2022-02-01T00:00:00"/>
    <x v="0"/>
    <x v="4"/>
    <n v="6510"/>
    <n v="23"/>
  </r>
  <r>
    <x v="3"/>
    <x v="5"/>
    <x v="21"/>
    <d v="2022-02-14T00:00:00"/>
    <x v="1"/>
    <x v="4"/>
    <n v="5894"/>
    <n v="305"/>
  </r>
  <r>
    <x v="20"/>
    <x v="2"/>
    <x v="11"/>
    <d v="2022-02-24T00:00:00"/>
    <x v="2"/>
    <x v="4"/>
    <n v="7910"/>
    <n v="125"/>
  </r>
  <r>
    <x v="17"/>
    <x v="1"/>
    <x v="7"/>
    <d v="2022-03-18T00:00:00"/>
    <x v="4"/>
    <x v="6"/>
    <n v="784"/>
    <n v="129"/>
  </r>
  <r>
    <x v="15"/>
    <x v="0"/>
    <x v="8"/>
    <d v="2022-08-30T00:00:00"/>
    <x v="0"/>
    <x v="1"/>
    <n v="1750"/>
    <n v="252"/>
  </r>
  <r>
    <x v="2"/>
    <x v="4"/>
    <x v="2"/>
    <d v="2022-05-09T00:00:00"/>
    <x v="1"/>
    <x v="7"/>
    <n v="280"/>
    <n v="75"/>
  </r>
  <r>
    <x v="18"/>
    <x v="4"/>
    <x v="3"/>
    <d v="2022-01-18T00:00:00"/>
    <x v="0"/>
    <x v="0"/>
    <n v="504"/>
    <n v="87"/>
  </r>
  <r>
    <x v="14"/>
    <x v="1"/>
    <x v="14"/>
    <d v="2022-07-04T00:00:00"/>
    <x v="1"/>
    <x v="2"/>
    <n v="7154"/>
    <n v="342"/>
  </r>
  <r>
    <x v="4"/>
    <x v="3"/>
    <x v="12"/>
    <d v="2022-06-03T00:00:00"/>
    <x v="4"/>
    <x v="5"/>
    <n v="1617"/>
    <n v="13"/>
  </r>
  <r>
    <x v="12"/>
    <x v="3"/>
    <x v="2"/>
    <d v="2022-02-23T00:00:00"/>
    <x v="3"/>
    <x v="4"/>
    <n v="10822"/>
    <n v="30"/>
  </r>
  <r>
    <x v="23"/>
    <x v="3"/>
    <x v="4"/>
    <d v="2022-05-09T00:00:00"/>
    <x v="1"/>
    <x v="7"/>
    <n v="10724"/>
    <n v="203"/>
  </r>
  <r>
    <x v="20"/>
    <x v="1"/>
    <x v="21"/>
    <d v="2022-06-06T00:00:00"/>
    <x v="1"/>
    <x v="5"/>
    <n v="3640"/>
    <n v="106"/>
  </r>
  <r>
    <x v="20"/>
    <x v="1"/>
    <x v="9"/>
    <d v="2022-07-04T00:00:00"/>
    <x v="1"/>
    <x v="2"/>
    <n v="7532"/>
    <n v="234"/>
  </r>
  <r>
    <x v="6"/>
    <x v="3"/>
    <x v="9"/>
    <d v="2022-06-06T00:00:00"/>
    <x v="1"/>
    <x v="5"/>
    <n v="1582"/>
    <n v="100"/>
  </r>
  <r>
    <x v="23"/>
    <x v="2"/>
    <x v="16"/>
    <d v="2022-05-13T00:00:00"/>
    <x v="4"/>
    <x v="7"/>
    <n v="1456"/>
    <n v="91"/>
  </r>
  <r>
    <x v="18"/>
    <x v="3"/>
    <x v="10"/>
    <d v="2022-01-31T00:00:00"/>
    <x v="1"/>
    <x v="0"/>
    <n v="2016"/>
    <n v="277"/>
  </r>
  <r>
    <x v="24"/>
    <x v="3"/>
    <x v="20"/>
    <d v="2022-06-30T00:00:00"/>
    <x v="2"/>
    <x v="5"/>
    <n v="7588"/>
    <n v="42"/>
  </r>
  <r>
    <x v="8"/>
    <x v="5"/>
    <x v="15"/>
    <d v="2022-08-25T00:00:00"/>
    <x v="2"/>
    <x v="1"/>
    <n v="3402"/>
    <n v="249"/>
  </r>
  <r>
    <x v="2"/>
    <x v="3"/>
    <x v="3"/>
    <d v="2022-01-10T00:00:00"/>
    <x v="1"/>
    <x v="0"/>
    <n v="700"/>
    <n v="97"/>
  </r>
  <r>
    <x v="6"/>
    <x v="4"/>
    <x v="15"/>
    <d v="2022-08-22T00:00:00"/>
    <x v="1"/>
    <x v="1"/>
    <n v="1904"/>
    <n v="8"/>
  </r>
  <r>
    <x v="13"/>
    <x v="3"/>
    <x v="1"/>
    <d v="2022-04-14T00:00:00"/>
    <x v="2"/>
    <x v="3"/>
    <n v="4844"/>
    <n v="275"/>
  </r>
  <r>
    <x v="4"/>
    <x v="0"/>
    <x v="3"/>
    <d v="2022-05-31T00:00:00"/>
    <x v="0"/>
    <x v="7"/>
    <n v="9625"/>
    <n v="313"/>
  </r>
  <r>
    <x v="4"/>
    <x v="0"/>
    <x v="17"/>
    <d v="2022-04-08T00:00:00"/>
    <x v="4"/>
    <x v="3"/>
    <n v="4599"/>
    <n v="323"/>
  </r>
  <r>
    <x v="13"/>
    <x v="4"/>
    <x v="9"/>
    <d v="2022-02-21T00:00:00"/>
    <x v="1"/>
    <x v="4"/>
    <n v="3003"/>
    <n v="155"/>
  </r>
  <r>
    <x v="19"/>
    <x v="2"/>
    <x v="15"/>
    <d v="2022-03-30T00:00:00"/>
    <x v="3"/>
    <x v="6"/>
    <n v="9744"/>
    <n v="377"/>
  </r>
  <r>
    <x v="9"/>
    <x v="1"/>
    <x v="17"/>
    <d v="2022-03-02T00:00:00"/>
    <x v="3"/>
    <x v="6"/>
    <n v="1400"/>
    <n v="2"/>
  </r>
  <r>
    <x v="0"/>
    <x v="4"/>
    <x v="7"/>
    <d v="2022-07-28T00:00:00"/>
    <x v="2"/>
    <x v="2"/>
    <n v="364"/>
    <n v="170"/>
  </r>
  <r>
    <x v="16"/>
    <x v="3"/>
    <x v="21"/>
    <d v="2022-03-24T00:00:00"/>
    <x v="2"/>
    <x v="6"/>
    <n v="7231"/>
    <n v="38"/>
  </r>
  <r>
    <x v="14"/>
    <x v="2"/>
    <x v="5"/>
    <d v="2022-08-11T00:00:00"/>
    <x v="2"/>
    <x v="1"/>
    <n v="63"/>
    <n v="105"/>
  </r>
  <r>
    <x v="15"/>
    <x v="0"/>
    <x v="16"/>
    <d v="2022-05-17T00:00:00"/>
    <x v="0"/>
    <x v="7"/>
    <n v="8309"/>
    <n v="166"/>
  </r>
  <r>
    <x v="16"/>
    <x v="5"/>
    <x v="18"/>
    <d v="2022-05-18T00:00:00"/>
    <x v="3"/>
    <x v="7"/>
    <n v="3164"/>
    <n v="164"/>
  </r>
  <r>
    <x v="13"/>
    <x v="0"/>
    <x v="2"/>
    <d v="2022-08-17T00:00:00"/>
    <x v="3"/>
    <x v="1"/>
    <n v="5691"/>
    <n v="171"/>
  </r>
  <r>
    <x v="24"/>
    <x v="3"/>
    <x v="8"/>
    <d v="2022-04-04T00:00:00"/>
    <x v="1"/>
    <x v="3"/>
    <n v="490"/>
    <n v="49"/>
  </r>
  <r>
    <x v="6"/>
    <x v="1"/>
    <x v="1"/>
    <d v="2022-08-09T00:00:00"/>
    <x v="0"/>
    <x v="1"/>
    <n v="18032"/>
    <n v="205"/>
  </r>
  <r>
    <x v="6"/>
    <x v="3"/>
    <x v="10"/>
    <d v="2022-01-17T00:00:00"/>
    <x v="1"/>
    <x v="0"/>
    <n v="637"/>
    <n v="313"/>
  </r>
  <r>
    <x v="19"/>
    <x v="5"/>
    <x v="14"/>
    <d v="2022-02-14T00:00:00"/>
    <x v="1"/>
    <x v="4"/>
    <n v="4067"/>
    <n v="29"/>
  </r>
  <r>
    <x v="2"/>
    <x v="3"/>
    <x v="7"/>
    <d v="2022-05-16T00:00:00"/>
    <x v="1"/>
    <x v="7"/>
    <n v="8204"/>
    <n v="307"/>
  </r>
  <r>
    <x v="24"/>
    <x v="5"/>
    <x v="3"/>
    <d v="2022-03-16T00:00:00"/>
    <x v="3"/>
    <x v="6"/>
    <n v="9870"/>
    <n v="121"/>
  </r>
  <r>
    <x v="15"/>
    <x v="5"/>
    <x v="21"/>
    <d v="2022-01-31T00:00:00"/>
    <x v="1"/>
    <x v="0"/>
    <n v="5131"/>
    <n v="285"/>
  </r>
  <r>
    <x v="8"/>
    <x v="5"/>
    <x v="10"/>
    <d v="2022-03-10T00:00:00"/>
    <x v="2"/>
    <x v="6"/>
    <n v="1141"/>
    <n v="205"/>
  </r>
  <r>
    <x v="4"/>
    <x v="0"/>
    <x v="10"/>
    <d v="2022-06-30T00:00:00"/>
    <x v="2"/>
    <x v="5"/>
    <n v="7980"/>
    <n v="157"/>
  </r>
  <r>
    <x v="1"/>
    <x v="3"/>
    <x v="8"/>
    <d v="2022-03-01T00:00:00"/>
    <x v="0"/>
    <x v="6"/>
    <n v="5229"/>
    <n v="182"/>
  </r>
  <r>
    <x v="9"/>
    <x v="0"/>
    <x v="9"/>
    <d v="2022-05-27T00:00:00"/>
    <x v="4"/>
    <x v="7"/>
    <n v="3423"/>
    <n v="100"/>
  </r>
  <r>
    <x v="4"/>
    <x v="0"/>
    <x v="11"/>
    <d v="2022-07-11T00:00:00"/>
    <x v="1"/>
    <x v="2"/>
    <n v="6468"/>
    <n v="223"/>
  </r>
  <r>
    <x v="10"/>
    <x v="3"/>
    <x v="0"/>
    <d v="2022-03-02T00:00:00"/>
    <x v="3"/>
    <x v="6"/>
    <n v="4326"/>
    <n v="61"/>
  </r>
  <r>
    <x v="0"/>
    <x v="4"/>
    <x v="17"/>
    <d v="2022-03-04T00:00:00"/>
    <x v="4"/>
    <x v="6"/>
    <n v="7154"/>
    <n v="133"/>
  </r>
  <r>
    <x v="20"/>
    <x v="0"/>
    <x v="1"/>
    <d v="2022-06-23T00:00:00"/>
    <x v="2"/>
    <x v="5"/>
    <n v="3997"/>
    <n v="228"/>
  </r>
  <r>
    <x v="20"/>
    <x v="4"/>
    <x v="16"/>
    <d v="2022-01-27T00:00:00"/>
    <x v="2"/>
    <x v="0"/>
    <n v="5180"/>
    <n v="233"/>
  </r>
  <r>
    <x v="11"/>
    <x v="5"/>
    <x v="7"/>
    <d v="2022-01-14T00:00:00"/>
    <x v="4"/>
    <x v="0"/>
    <n v="2723"/>
    <n v="425"/>
  </r>
  <r>
    <x v="17"/>
    <x v="1"/>
    <x v="13"/>
    <d v="2022-07-29T00:00:00"/>
    <x v="4"/>
    <x v="2"/>
    <n v="952"/>
    <n v="24"/>
  </r>
  <r>
    <x v="6"/>
    <x v="5"/>
    <x v="3"/>
    <d v="2022-05-13T00:00:00"/>
    <x v="4"/>
    <x v="7"/>
    <n v="5691"/>
    <n v="495"/>
  </r>
  <r>
    <x v="8"/>
    <x v="5"/>
    <x v="19"/>
    <d v="2022-02-03T00:00:00"/>
    <x v="2"/>
    <x v="4"/>
    <n v="10969"/>
    <n v="170"/>
  </r>
  <r>
    <x v="6"/>
    <x v="1"/>
    <x v="3"/>
    <d v="2022-05-27T00:00:00"/>
    <x v="4"/>
    <x v="7"/>
    <n v="5964"/>
    <n v="26"/>
  </r>
  <r>
    <x v="3"/>
    <x v="2"/>
    <x v="9"/>
    <d v="2022-02-18T00:00:00"/>
    <x v="4"/>
    <x v="4"/>
    <n v="2821"/>
    <n v="24"/>
  </r>
  <r>
    <x v="6"/>
    <x v="1"/>
    <x v="12"/>
    <d v="2022-01-28T00:00:00"/>
    <x v="4"/>
    <x v="0"/>
    <n v="1302"/>
    <n v="33"/>
  </r>
  <r>
    <x v="1"/>
    <x v="0"/>
    <x v="8"/>
    <d v="2022-06-29T00:00:00"/>
    <x v="3"/>
    <x v="5"/>
    <n v="5474"/>
    <n v="109"/>
  </r>
  <r>
    <x v="18"/>
    <x v="1"/>
    <x v="20"/>
    <d v="2022-01-13T00:00:00"/>
    <x v="2"/>
    <x v="0"/>
    <n v="4179"/>
    <n v="276"/>
  </r>
  <r>
    <x v="0"/>
    <x v="0"/>
    <x v="5"/>
    <d v="2022-06-27T00:00:00"/>
    <x v="1"/>
    <x v="5"/>
    <n v="1946"/>
    <n v="164"/>
  </r>
  <r>
    <x v="8"/>
    <x v="5"/>
    <x v="14"/>
    <d v="2022-03-29T00:00:00"/>
    <x v="0"/>
    <x v="6"/>
    <n v="4291"/>
    <n v="1"/>
  </r>
  <r>
    <x v="5"/>
    <x v="1"/>
    <x v="10"/>
    <d v="2022-06-03T00:00:00"/>
    <x v="4"/>
    <x v="5"/>
    <n v="7196"/>
    <n v="160"/>
  </r>
  <r>
    <x v="9"/>
    <x v="5"/>
    <x v="3"/>
    <d v="2022-03-21T00:00:00"/>
    <x v="1"/>
    <x v="6"/>
    <n v="1939"/>
    <n v="98"/>
  </r>
  <r>
    <x v="9"/>
    <x v="1"/>
    <x v="8"/>
    <d v="2022-04-12T00:00:00"/>
    <x v="0"/>
    <x v="3"/>
    <n v="10437"/>
    <n v="46"/>
  </r>
  <r>
    <x v="7"/>
    <x v="2"/>
    <x v="17"/>
    <d v="2022-01-19T00:00:00"/>
    <x v="3"/>
    <x v="0"/>
    <n v="6916"/>
    <n v="259"/>
  </r>
  <r>
    <x v="10"/>
    <x v="0"/>
    <x v="6"/>
    <d v="2022-04-06T00:00:00"/>
    <x v="3"/>
    <x v="3"/>
    <n v="3647"/>
    <n v="310"/>
  </r>
  <r>
    <x v="16"/>
    <x v="2"/>
    <x v="6"/>
    <d v="2022-08-02T00:00:00"/>
    <x v="0"/>
    <x v="1"/>
    <n v="8995"/>
    <n v="78"/>
  </r>
  <r>
    <x v="2"/>
    <x v="2"/>
    <x v="8"/>
    <d v="2022-04-12T00:00:00"/>
    <x v="0"/>
    <x v="3"/>
    <n v="7252"/>
    <n v="136"/>
  </r>
  <r>
    <x v="4"/>
    <x v="1"/>
    <x v="9"/>
    <d v="2022-07-21T00:00:00"/>
    <x v="2"/>
    <x v="2"/>
    <n v="16380"/>
    <n v="130"/>
  </r>
  <r>
    <x v="1"/>
    <x v="3"/>
    <x v="19"/>
    <d v="2022-03-22T00:00:00"/>
    <x v="0"/>
    <x v="6"/>
    <n v="9660"/>
    <n v="24"/>
  </r>
  <r>
    <x v="15"/>
    <x v="1"/>
    <x v="2"/>
    <d v="2022-05-09T00:00:00"/>
    <x v="1"/>
    <x v="7"/>
    <n v="4522"/>
    <n v="5"/>
  </r>
  <r>
    <x v="19"/>
    <x v="2"/>
    <x v="19"/>
    <d v="2022-08-09T00:00:00"/>
    <x v="0"/>
    <x v="1"/>
    <n v="329"/>
    <n v="109"/>
  </r>
  <r>
    <x v="22"/>
    <x v="5"/>
    <x v="18"/>
    <d v="2022-07-20T00:00:00"/>
    <x v="3"/>
    <x v="2"/>
    <n v="3458"/>
    <n v="294"/>
  </r>
  <r>
    <x v="6"/>
    <x v="1"/>
    <x v="21"/>
    <d v="2022-04-14T00:00:00"/>
    <x v="2"/>
    <x v="3"/>
    <n v="4641"/>
    <n v="413"/>
  </r>
  <r>
    <x v="0"/>
    <x v="5"/>
    <x v="14"/>
    <d v="2022-01-25T00:00:00"/>
    <x v="0"/>
    <x v="0"/>
    <n v="4627"/>
    <n v="136"/>
  </r>
  <r>
    <x v="19"/>
    <x v="2"/>
    <x v="16"/>
    <d v="2022-04-25T00:00:00"/>
    <x v="1"/>
    <x v="3"/>
    <n v="3192"/>
    <n v="175"/>
  </r>
  <r>
    <x v="23"/>
    <x v="5"/>
    <x v="5"/>
    <d v="2022-01-17T00:00:00"/>
    <x v="1"/>
    <x v="0"/>
    <n v="252"/>
    <n v="237"/>
  </r>
  <r>
    <x v="10"/>
    <x v="4"/>
    <x v="8"/>
    <d v="2022-08-15T00:00:00"/>
    <x v="1"/>
    <x v="1"/>
    <n v="868"/>
    <n v="125"/>
  </r>
  <r>
    <x v="10"/>
    <x v="5"/>
    <x v="13"/>
    <d v="2022-06-02T00:00:00"/>
    <x v="2"/>
    <x v="5"/>
    <n v="210"/>
    <n v="16"/>
  </r>
  <r>
    <x v="5"/>
    <x v="4"/>
    <x v="1"/>
    <d v="2022-06-30T00:00:00"/>
    <x v="2"/>
    <x v="5"/>
    <n v="7007"/>
    <n v="135"/>
  </r>
  <r>
    <x v="23"/>
    <x v="3"/>
    <x v="17"/>
    <d v="2022-02-10T00:00:00"/>
    <x v="2"/>
    <x v="4"/>
    <n v="5845"/>
    <n v="91"/>
  </r>
  <r>
    <x v="11"/>
    <x v="5"/>
    <x v="20"/>
    <d v="2022-02-23T00:00:00"/>
    <x v="3"/>
    <x v="4"/>
    <n v="1372"/>
    <n v="614"/>
  </r>
  <r>
    <x v="17"/>
    <x v="1"/>
    <x v="10"/>
    <d v="2022-01-27T00:00:00"/>
    <x v="2"/>
    <x v="0"/>
    <n v="8428"/>
    <n v="216"/>
  </r>
  <r>
    <x v="21"/>
    <x v="0"/>
    <x v="0"/>
    <d v="2022-05-26T00:00:00"/>
    <x v="2"/>
    <x v="7"/>
    <n v="4977"/>
    <n v="317"/>
  </r>
  <r>
    <x v="6"/>
    <x v="4"/>
    <x v="21"/>
    <d v="2022-04-14T00:00:00"/>
    <x v="2"/>
    <x v="3"/>
    <n v="1694"/>
    <n v="21"/>
  </r>
  <r>
    <x v="22"/>
    <x v="2"/>
    <x v="4"/>
    <d v="2022-08-01T00:00:00"/>
    <x v="1"/>
    <x v="1"/>
    <n v="4326"/>
    <n v="154"/>
  </r>
  <r>
    <x v="9"/>
    <x v="2"/>
    <x v="8"/>
    <d v="2022-08-22T00:00:00"/>
    <x v="1"/>
    <x v="1"/>
    <n v="9527"/>
    <n v="222"/>
  </r>
  <r>
    <x v="11"/>
    <x v="1"/>
    <x v="4"/>
    <d v="2022-07-22T00:00:00"/>
    <x v="4"/>
    <x v="2"/>
    <n v="10766"/>
    <n v="157"/>
  </r>
  <r>
    <x v="15"/>
    <x v="4"/>
    <x v="13"/>
    <d v="2022-04-28T00:00:00"/>
    <x v="2"/>
    <x v="3"/>
    <n v="1288"/>
    <n v="27"/>
  </r>
  <r>
    <x v="20"/>
    <x v="2"/>
    <x v="16"/>
    <d v="2022-05-30T00:00:00"/>
    <x v="1"/>
    <x v="7"/>
    <n v="4879"/>
    <n v="350"/>
  </r>
  <r>
    <x v="24"/>
    <x v="4"/>
    <x v="11"/>
    <d v="2022-07-21T00:00:00"/>
    <x v="2"/>
    <x v="2"/>
    <n v="2408"/>
    <n v="157"/>
  </r>
  <r>
    <x v="3"/>
    <x v="0"/>
    <x v="20"/>
    <d v="2022-08-02T00:00:00"/>
    <x v="0"/>
    <x v="1"/>
    <n v="3094"/>
    <n v="468"/>
  </r>
  <r>
    <x v="6"/>
    <x v="3"/>
    <x v="21"/>
    <d v="2022-06-15T00:00:00"/>
    <x v="3"/>
    <x v="5"/>
    <n v="7231"/>
    <n v="130"/>
  </r>
  <r>
    <x v="4"/>
    <x v="1"/>
    <x v="1"/>
    <d v="2022-07-05T00:00:00"/>
    <x v="0"/>
    <x v="2"/>
    <n v="8981"/>
    <n v="130"/>
  </r>
  <r>
    <x v="16"/>
    <x v="3"/>
    <x v="3"/>
    <d v="2022-04-12T00:00:00"/>
    <x v="0"/>
    <x v="3"/>
    <n v="7"/>
    <n v="518"/>
  </r>
  <r>
    <x v="2"/>
    <x v="2"/>
    <x v="21"/>
    <d v="2022-08-18T00:00:00"/>
    <x v="2"/>
    <x v="1"/>
    <n v="1372"/>
    <n v="105"/>
  </r>
  <r>
    <x v="3"/>
    <x v="0"/>
    <x v="6"/>
    <d v="2022-01-12T00:00:00"/>
    <x v="3"/>
    <x v="0"/>
    <n v="5250"/>
    <n v="293"/>
  </r>
  <r>
    <x v="5"/>
    <x v="5"/>
    <x v="14"/>
    <d v="2022-08-11T00:00:00"/>
    <x v="2"/>
    <x v="1"/>
    <n v="7560"/>
    <n v="15"/>
  </r>
  <r>
    <x v="0"/>
    <x v="2"/>
    <x v="12"/>
    <d v="2022-01-13T00:00:00"/>
    <x v="2"/>
    <x v="0"/>
    <n v="5012"/>
    <n v="384"/>
  </r>
  <r>
    <x v="15"/>
    <x v="0"/>
    <x v="19"/>
    <d v="2022-04-29T00:00:00"/>
    <x v="4"/>
    <x v="3"/>
    <n v="3038"/>
    <n v="135"/>
  </r>
  <r>
    <x v="7"/>
    <x v="3"/>
    <x v="5"/>
    <d v="2022-07-07T00:00:00"/>
    <x v="2"/>
    <x v="2"/>
    <n v="1099"/>
    <n v="92"/>
  </r>
  <r>
    <x v="22"/>
    <x v="3"/>
    <x v="0"/>
    <d v="2022-03-11T00:00:00"/>
    <x v="4"/>
    <x v="6"/>
    <n v="7413"/>
    <n v="4"/>
  </r>
  <r>
    <x v="22"/>
    <x v="0"/>
    <x v="21"/>
    <d v="2022-02-16T00:00:00"/>
    <x v="3"/>
    <x v="4"/>
    <n v="5397"/>
    <n v="239"/>
  </r>
  <r>
    <x v="8"/>
    <x v="2"/>
    <x v="10"/>
    <d v="2022-01-07T00:00:00"/>
    <x v="4"/>
    <x v="0"/>
    <n v="2303"/>
    <n v="33"/>
  </r>
  <r>
    <x v="12"/>
    <x v="3"/>
    <x v="9"/>
    <d v="2022-01-12T00:00:00"/>
    <x v="3"/>
    <x v="0"/>
    <n v="1141"/>
    <n v="518"/>
  </r>
  <r>
    <x v="12"/>
    <x v="1"/>
    <x v="8"/>
    <d v="2022-06-09T00:00:00"/>
    <x v="2"/>
    <x v="5"/>
    <n v="10325"/>
    <n v="147"/>
  </r>
  <r>
    <x v="19"/>
    <x v="1"/>
    <x v="8"/>
    <d v="2022-05-16T00:00:00"/>
    <x v="1"/>
    <x v="7"/>
    <n v="2149"/>
    <n v="84"/>
  </r>
  <r>
    <x v="2"/>
    <x v="0"/>
    <x v="1"/>
    <d v="2022-06-23T00:00:00"/>
    <x v="2"/>
    <x v="5"/>
    <n v="12362"/>
    <n v="94"/>
  </r>
  <r>
    <x v="13"/>
    <x v="0"/>
    <x v="17"/>
    <d v="2022-01-28T00:00:00"/>
    <x v="4"/>
    <x v="0"/>
    <n v="12635"/>
    <n v="194"/>
  </r>
  <r>
    <x v="23"/>
    <x v="0"/>
    <x v="0"/>
    <d v="2022-07-14T00:00:00"/>
    <x v="2"/>
    <x v="2"/>
    <n v="2443"/>
    <n v="216"/>
  </r>
  <r>
    <x v="8"/>
    <x v="5"/>
    <x v="9"/>
    <d v="2022-04-18T00:00:00"/>
    <x v="1"/>
    <x v="3"/>
    <n v="6237"/>
    <n v="247"/>
  </r>
  <r>
    <x v="4"/>
    <x v="4"/>
    <x v="11"/>
    <d v="2022-06-14T00:00:00"/>
    <x v="0"/>
    <x v="5"/>
    <n v="1736"/>
    <n v="79"/>
  </r>
  <r>
    <x v="4"/>
    <x v="0"/>
    <x v="7"/>
    <d v="2022-04-15T00:00:00"/>
    <x v="4"/>
    <x v="3"/>
    <n v="7315"/>
    <n v="237"/>
  </r>
  <r>
    <x v="14"/>
    <x v="5"/>
    <x v="2"/>
    <d v="2022-05-19T00:00:00"/>
    <x v="2"/>
    <x v="7"/>
    <n v="4935"/>
    <n v="63"/>
  </r>
  <r>
    <x v="2"/>
    <x v="1"/>
    <x v="14"/>
    <d v="2022-04-13T00:00:00"/>
    <x v="3"/>
    <x v="3"/>
    <n v="1393"/>
    <n v="172"/>
  </r>
  <r>
    <x v="15"/>
    <x v="5"/>
    <x v="18"/>
    <d v="2022-08-15T00:00:00"/>
    <x v="1"/>
    <x v="1"/>
    <n v="3381"/>
    <n v="408"/>
  </r>
  <r>
    <x v="18"/>
    <x v="1"/>
    <x v="18"/>
    <d v="2022-08-22T00:00:00"/>
    <x v="1"/>
    <x v="1"/>
    <n v="2933"/>
    <n v="233"/>
  </r>
  <r>
    <x v="18"/>
    <x v="3"/>
    <x v="19"/>
    <d v="2022-04-22T00:00:00"/>
    <x v="4"/>
    <x v="3"/>
    <n v="3836"/>
    <n v="59"/>
  </r>
  <r>
    <x v="16"/>
    <x v="0"/>
    <x v="18"/>
    <d v="2022-08-03T00:00:00"/>
    <x v="3"/>
    <x v="1"/>
    <n v="8022"/>
    <n v="123"/>
  </r>
  <r>
    <x v="17"/>
    <x v="3"/>
    <x v="10"/>
    <d v="2022-01-04T00:00:00"/>
    <x v="0"/>
    <x v="0"/>
    <n v="371"/>
    <n v="229"/>
  </r>
  <r>
    <x v="20"/>
    <x v="5"/>
    <x v="5"/>
    <d v="2022-01-13T00:00:00"/>
    <x v="2"/>
    <x v="0"/>
    <n v="16702"/>
    <n v="198"/>
  </r>
  <r>
    <x v="1"/>
    <x v="2"/>
    <x v="19"/>
    <d v="2022-05-11T00:00:00"/>
    <x v="3"/>
    <x v="7"/>
    <n v="13258"/>
    <n v="32"/>
  </r>
  <r>
    <x v="15"/>
    <x v="3"/>
    <x v="2"/>
    <d v="2022-02-16T00:00:00"/>
    <x v="3"/>
    <x v="4"/>
    <n v="2058"/>
    <n v="236"/>
  </r>
  <r>
    <x v="16"/>
    <x v="0"/>
    <x v="20"/>
    <d v="2022-05-20T00:00:00"/>
    <x v="4"/>
    <x v="7"/>
    <n v="10192"/>
    <n v="67"/>
  </r>
  <r>
    <x v="0"/>
    <x v="0"/>
    <x v="9"/>
    <d v="2022-02-03T00:00:00"/>
    <x v="2"/>
    <x v="4"/>
    <n v="7140"/>
    <n v="438"/>
  </r>
  <r>
    <x v="12"/>
    <x v="1"/>
    <x v="15"/>
    <d v="2022-05-06T00:00:00"/>
    <x v="4"/>
    <x v="7"/>
    <n v="9835"/>
    <n v="167"/>
  </r>
  <r>
    <x v="5"/>
    <x v="0"/>
    <x v="18"/>
    <d v="2022-06-30T00:00:00"/>
    <x v="2"/>
    <x v="5"/>
    <n v="5775"/>
    <n v="135"/>
  </r>
  <r>
    <x v="5"/>
    <x v="0"/>
    <x v="3"/>
    <d v="2022-03-22T00:00:00"/>
    <x v="0"/>
    <x v="6"/>
    <n v="749"/>
    <n v="148"/>
  </r>
  <r>
    <x v="21"/>
    <x v="5"/>
    <x v="7"/>
    <d v="2022-02-17T00:00:00"/>
    <x v="2"/>
    <x v="4"/>
    <n v="7770"/>
    <n v="54"/>
  </r>
  <r>
    <x v="0"/>
    <x v="0"/>
    <x v="1"/>
    <d v="2022-07-07T00:00:00"/>
    <x v="2"/>
    <x v="2"/>
    <n v="5502"/>
    <n v="64"/>
  </r>
  <r>
    <x v="4"/>
    <x v="0"/>
    <x v="21"/>
    <d v="2022-03-16T00:00:00"/>
    <x v="3"/>
    <x v="6"/>
    <n v="6223"/>
    <n v="181"/>
  </r>
  <r>
    <x v="20"/>
    <x v="0"/>
    <x v="4"/>
    <d v="2022-08-12T00:00:00"/>
    <x v="4"/>
    <x v="1"/>
    <n v="3507"/>
    <n v="114"/>
  </r>
  <r>
    <x v="2"/>
    <x v="3"/>
    <x v="5"/>
    <d v="2022-01-21T00:00:00"/>
    <x v="4"/>
    <x v="0"/>
    <n v="5600"/>
    <n v="181"/>
  </r>
  <r>
    <x v="4"/>
    <x v="2"/>
    <x v="6"/>
    <d v="2022-05-06T00:00:00"/>
    <x v="4"/>
    <x v="7"/>
    <n v="721"/>
    <n v="151"/>
  </r>
  <r>
    <x v="4"/>
    <x v="5"/>
    <x v="6"/>
    <d v="2022-06-24T00:00:00"/>
    <x v="4"/>
    <x v="5"/>
    <n v="6615"/>
    <n v="137"/>
  </r>
  <r>
    <x v="8"/>
    <x v="4"/>
    <x v="14"/>
    <d v="2022-05-05T00:00:00"/>
    <x v="2"/>
    <x v="7"/>
    <n v="7420"/>
    <n v="163"/>
  </r>
  <r>
    <x v="7"/>
    <x v="3"/>
    <x v="4"/>
    <d v="2022-03-25T00:00:00"/>
    <x v="4"/>
    <x v="6"/>
    <n v="3164"/>
    <n v="84"/>
  </r>
  <r>
    <x v="14"/>
    <x v="2"/>
    <x v="20"/>
    <d v="2022-02-14T00:00:00"/>
    <x v="1"/>
    <x v="4"/>
    <n v="9114"/>
    <n v="140"/>
  </r>
  <r>
    <x v="14"/>
    <x v="3"/>
    <x v="1"/>
    <d v="2022-05-12T00:00:00"/>
    <x v="2"/>
    <x v="7"/>
    <n v="5404"/>
    <n v="187"/>
  </r>
  <r>
    <x v="8"/>
    <x v="3"/>
    <x v="3"/>
    <d v="2022-01-25T00:00:00"/>
    <x v="0"/>
    <x v="0"/>
    <n v="3990"/>
    <n v="169"/>
  </r>
  <r>
    <x v="24"/>
    <x v="0"/>
    <x v="1"/>
    <d v="2022-06-28T00:00:00"/>
    <x v="0"/>
    <x v="5"/>
    <n v="14924"/>
    <n v="12"/>
  </r>
  <r>
    <x v="17"/>
    <x v="2"/>
    <x v="9"/>
    <d v="2022-07-13T00:00:00"/>
    <x v="3"/>
    <x v="2"/>
    <n v="7091"/>
    <n v="194"/>
  </r>
  <r>
    <x v="13"/>
    <x v="4"/>
    <x v="11"/>
    <d v="2022-05-16T00:00:00"/>
    <x v="1"/>
    <x v="7"/>
    <n v="2807"/>
    <n v="252"/>
  </r>
  <r>
    <x v="3"/>
    <x v="1"/>
    <x v="5"/>
    <d v="2022-03-14T00:00:00"/>
    <x v="1"/>
    <x v="6"/>
    <n v="6496"/>
    <n v="168"/>
  </r>
  <r>
    <x v="5"/>
    <x v="4"/>
    <x v="5"/>
    <d v="2022-08-15T00:00:00"/>
    <x v="1"/>
    <x v="1"/>
    <n v="3738"/>
    <n v="261"/>
  </r>
  <r>
    <x v="24"/>
    <x v="1"/>
    <x v="7"/>
    <d v="2022-02-16T00:00:00"/>
    <x v="3"/>
    <x v="4"/>
    <n v="1190"/>
    <n v="256"/>
  </r>
  <r>
    <x v="9"/>
    <x v="0"/>
    <x v="15"/>
    <d v="2022-06-15T00:00:00"/>
    <x v="3"/>
    <x v="5"/>
    <n v="8379"/>
    <n v="43"/>
  </r>
  <r>
    <x v="8"/>
    <x v="2"/>
    <x v="17"/>
    <d v="2022-05-27T00:00:00"/>
    <x v="4"/>
    <x v="7"/>
    <n v="9268"/>
    <n v="100"/>
  </r>
  <r>
    <x v="18"/>
    <x v="4"/>
    <x v="9"/>
    <d v="2022-06-14T00:00:00"/>
    <x v="0"/>
    <x v="5"/>
    <n v="1029"/>
    <n v="98"/>
  </r>
  <r>
    <x v="18"/>
    <x v="1"/>
    <x v="8"/>
    <d v="2022-02-25T00:00:00"/>
    <x v="4"/>
    <x v="4"/>
    <n v="3549"/>
    <n v="76"/>
  </r>
  <r>
    <x v="18"/>
    <x v="1"/>
    <x v="5"/>
    <d v="2022-08-04T00:00:00"/>
    <x v="2"/>
    <x v="1"/>
    <n v="12026"/>
    <n v="262"/>
  </r>
  <r>
    <x v="20"/>
    <x v="1"/>
    <x v="4"/>
    <d v="2022-06-28T00:00:00"/>
    <x v="0"/>
    <x v="5"/>
    <n v="2303"/>
    <n v="244"/>
  </r>
  <r>
    <x v="5"/>
    <x v="5"/>
    <x v="12"/>
    <d v="2022-04-05T00:00:00"/>
    <x v="0"/>
    <x v="3"/>
    <n v="13405"/>
    <n v="12"/>
  </r>
  <r>
    <x v="22"/>
    <x v="5"/>
    <x v="2"/>
    <d v="2022-07-05T00:00:00"/>
    <x v="0"/>
    <x v="2"/>
    <n v="14763"/>
    <n v="113"/>
  </r>
  <r>
    <x v="16"/>
    <x v="3"/>
    <x v="8"/>
    <d v="2022-01-20T00:00:00"/>
    <x v="2"/>
    <x v="0"/>
    <n v="12894"/>
    <n v="48"/>
  </r>
  <r>
    <x v="24"/>
    <x v="3"/>
    <x v="9"/>
    <d v="2022-02-16T00:00:00"/>
    <x v="3"/>
    <x v="4"/>
    <n v="8302"/>
    <n v="131"/>
  </r>
  <r>
    <x v="14"/>
    <x v="0"/>
    <x v="9"/>
    <d v="2022-07-12T00:00:00"/>
    <x v="0"/>
    <x v="2"/>
    <n v="455"/>
    <n v="174"/>
  </r>
  <r>
    <x v="20"/>
    <x v="1"/>
    <x v="17"/>
    <d v="2022-06-16T00:00:00"/>
    <x v="2"/>
    <x v="5"/>
    <n v="8183"/>
    <n v="254"/>
  </r>
  <r>
    <x v="23"/>
    <x v="2"/>
    <x v="18"/>
    <d v="2022-04-13T00:00:00"/>
    <x v="3"/>
    <x v="3"/>
    <n v="1645"/>
    <n v="284"/>
  </r>
  <r>
    <x v="16"/>
    <x v="0"/>
    <x v="6"/>
    <d v="2022-02-21T00:00:00"/>
    <x v="1"/>
    <x v="4"/>
    <n v="3143"/>
    <n v="67"/>
  </r>
  <r>
    <x v="13"/>
    <x v="5"/>
    <x v="18"/>
    <d v="2022-05-11T00:00:00"/>
    <x v="3"/>
    <x v="7"/>
    <n v="5873"/>
    <n v="249"/>
  </r>
  <r>
    <x v="24"/>
    <x v="1"/>
    <x v="6"/>
    <d v="2022-04-15T00:00:00"/>
    <x v="4"/>
    <x v="3"/>
    <n v="11298"/>
    <n v="313"/>
  </r>
  <r>
    <x v="4"/>
    <x v="5"/>
    <x v="2"/>
    <d v="2022-06-07T00:00:00"/>
    <x v="0"/>
    <x v="5"/>
    <n v="12425"/>
    <n v="167"/>
  </r>
  <r>
    <x v="4"/>
    <x v="0"/>
    <x v="14"/>
    <d v="2022-06-27T00:00:00"/>
    <x v="1"/>
    <x v="5"/>
    <n v="1715"/>
    <n v="286"/>
  </r>
  <r>
    <x v="8"/>
    <x v="1"/>
    <x v="5"/>
    <d v="2022-07-29T00:00:00"/>
    <x v="4"/>
    <x v="2"/>
    <n v="8190"/>
    <n v="109"/>
  </r>
  <r>
    <x v="18"/>
    <x v="5"/>
    <x v="3"/>
    <d v="2022-06-02T00:00:00"/>
    <x v="2"/>
    <x v="5"/>
    <n v="4991"/>
    <n v="166"/>
  </r>
  <r>
    <x v="7"/>
    <x v="1"/>
    <x v="0"/>
    <d v="2022-01-26T00:00:00"/>
    <x v="3"/>
    <x v="0"/>
    <n v="15491"/>
    <n v="85"/>
  </r>
  <r>
    <x v="7"/>
    <x v="5"/>
    <x v="4"/>
    <d v="2022-03-02T00:00:00"/>
    <x v="3"/>
    <x v="6"/>
    <n v="5096"/>
    <n v="142"/>
  </r>
  <r>
    <x v="1"/>
    <x v="2"/>
    <x v="21"/>
    <d v="2022-01-10T00:00:00"/>
    <x v="1"/>
    <x v="0"/>
    <n v="7063"/>
    <n v="104"/>
  </r>
  <r>
    <x v="12"/>
    <x v="4"/>
    <x v="21"/>
    <d v="2022-06-27T00:00:00"/>
    <x v="1"/>
    <x v="5"/>
    <n v="2275"/>
    <n v="115"/>
  </r>
  <r>
    <x v="8"/>
    <x v="5"/>
    <x v="7"/>
    <d v="2022-06-30T00:00:00"/>
    <x v="2"/>
    <x v="5"/>
    <n v="7602"/>
    <n v="18"/>
  </r>
  <r>
    <x v="13"/>
    <x v="2"/>
    <x v="1"/>
    <d v="2022-07-08T00:00:00"/>
    <x v="4"/>
    <x v="2"/>
    <n v="4200"/>
    <n v="80"/>
  </r>
  <r>
    <x v="4"/>
    <x v="1"/>
    <x v="12"/>
    <d v="2022-06-08T00:00:00"/>
    <x v="3"/>
    <x v="5"/>
    <n v="11137"/>
    <n v="88"/>
  </r>
  <r>
    <x v="3"/>
    <x v="0"/>
    <x v="15"/>
    <d v="2022-08-18T00:00:00"/>
    <x v="2"/>
    <x v="1"/>
    <n v="3388"/>
    <n v="212"/>
  </r>
  <r>
    <x v="16"/>
    <x v="2"/>
    <x v="5"/>
    <d v="2022-04-08T00:00:00"/>
    <x v="4"/>
    <x v="3"/>
    <n v="6832"/>
    <n v="306"/>
  </r>
  <r>
    <x v="18"/>
    <x v="5"/>
    <x v="13"/>
    <d v="2022-08-08T00:00:00"/>
    <x v="1"/>
    <x v="1"/>
    <n v="3437"/>
    <n v="181"/>
  </r>
  <r>
    <x v="18"/>
    <x v="0"/>
    <x v="11"/>
    <d v="2022-08-26T00:00:00"/>
    <x v="4"/>
    <x v="1"/>
    <n v="301"/>
    <n v="65"/>
  </r>
  <r>
    <x v="4"/>
    <x v="5"/>
    <x v="13"/>
    <d v="2022-01-14T00:00:00"/>
    <x v="4"/>
    <x v="0"/>
    <n v="1869"/>
    <n v="158"/>
  </r>
  <r>
    <x v="17"/>
    <x v="4"/>
    <x v="19"/>
    <d v="2022-08-11T00:00:00"/>
    <x v="2"/>
    <x v="1"/>
    <n v="17465"/>
    <n v="271"/>
  </r>
  <r>
    <x v="22"/>
    <x v="4"/>
    <x v="16"/>
    <d v="2022-05-31T00:00:00"/>
    <x v="0"/>
    <x v="7"/>
    <n v="10143"/>
    <n v="24"/>
  </r>
  <r>
    <x v="1"/>
    <x v="3"/>
    <x v="6"/>
    <d v="2022-07-11T00:00:00"/>
    <x v="1"/>
    <x v="2"/>
    <n v="3626"/>
    <n v="10"/>
  </r>
  <r>
    <x v="10"/>
    <x v="5"/>
    <x v="20"/>
    <d v="2022-03-02T00:00:00"/>
    <x v="3"/>
    <x v="6"/>
    <n v="3346"/>
    <n v="304"/>
  </r>
  <r>
    <x v="22"/>
    <x v="2"/>
    <x v="17"/>
    <d v="2022-07-13T00:00:00"/>
    <x v="3"/>
    <x v="2"/>
    <n v="6321"/>
    <n v="88"/>
  </r>
  <r>
    <x v="7"/>
    <x v="0"/>
    <x v="12"/>
    <d v="2022-08-03T00:00:00"/>
    <x v="3"/>
    <x v="1"/>
    <n v="9345"/>
    <n v="133"/>
  </r>
  <r>
    <x v="14"/>
    <x v="0"/>
    <x v="2"/>
    <d v="2022-03-01T00:00:00"/>
    <x v="0"/>
    <x v="6"/>
    <n v="15008"/>
    <n v="165"/>
  </r>
  <r>
    <x v="20"/>
    <x v="3"/>
    <x v="14"/>
    <d v="2022-04-13T00:00:00"/>
    <x v="3"/>
    <x v="3"/>
    <n v="7609"/>
    <n v="150"/>
  </r>
  <r>
    <x v="12"/>
    <x v="5"/>
    <x v="13"/>
    <d v="2022-02-14T00:00:00"/>
    <x v="1"/>
    <x v="4"/>
    <n v="10332"/>
    <n v="180"/>
  </r>
  <r>
    <x v="9"/>
    <x v="1"/>
    <x v="14"/>
    <d v="2022-07-26T00:00:00"/>
    <x v="0"/>
    <x v="2"/>
    <n v="819"/>
    <n v="213"/>
  </r>
  <r>
    <x v="6"/>
    <x v="0"/>
    <x v="9"/>
    <d v="2022-01-27T00:00:00"/>
    <x v="2"/>
    <x v="0"/>
    <n v="5754"/>
    <n v="133"/>
  </r>
  <r>
    <x v="0"/>
    <x v="1"/>
    <x v="2"/>
    <d v="2022-04-14T00:00:00"/>
    <x v="2"/>
    <x v="3"/>
    <n v="28"/>
    <n v="446"/>
  </r>
  <r>
    <x v="4"/>
    <x v="4"/>
    <x v="16"/>
    <d v="2022-05-19T00:00:00"/>
    <x v="2"/>
    <x v="7"/>
    <n v="6440"/>
    <n v="141"/>
  </r>
  <r>
    <x v="15"/>
    <x v="1"/>
    <x v="8"/>
    <d v="2022-02-09T00:00:00"/>
    <x v="3"/>
    <x v="4"/>
    <n v="4956"/>
    <n v="58"/>
  </r>
  <r>
    <x v="6"/>
    <x v="0"/>
    <x v="12"/>
    <d v="2022-05-25T00:00:00"/>
    <x v="3"/>
    <x v="7"/>
    <n v="2352"/>
    <n v="58"/>
  </r>
  <r>
    <x v="4"/>
    <x v="2"/>
    <x v="15"/>
    <d v="2022-01-26T00:00:00"/>
    <x v="3"/>
    <x v="0"/>
    <n v="3906"/>
    <n v="76"/>
  </r>
  <r>
    <x v="12"/>
    <x v="1"/>
    <x v="14"/>
    <d v="2022-07-04T00:00:00"/>
    <x v="1"/>
    <x v="2"/>
    <n v="1813"/>
    <n v="296"/>
  </r>
  <r>
    <x v="24"/>
    <x v="1"/>
    <x v="16"/>
    <d v="2022-04-13T00:00:00"/>
    <x v="3"/>
    <x v="3"/>
    <n v="11788"/>
    <n v="73"/>
  </r>
  <r>
    <x v="2"/>
    <x v="2"/>
    <x v="3"/>
    <d v="2022-01-25T00:00:00"/>
    <x v="0"/>
    <x v="0"/>
    <n v="5768"/>
    <n v="119"/>
  </r>
  <r>
    <x v="21"/>
    <x v="4"/>
    <x v="1"/>
    <d v="2022-04-25T00:00:00"/>
    <x v="1"/>
    <x v="3"/>
    <n v="2401"/>
    <n v="78"/>
  </r>
  <r>
    <x v="21"/>
    <x v="4"/>
    <x v="8"/>
    <d v="2022-06-10T00:00:00"/>
    <x v="4"/>
    <x v="5"/>
    <n v="4515"/>
    <n v="392"/>
  </r>
  <r>
    <x v="22"/>
    <x v="3"/>
    <x v="14"/>
    <d v="2022-08-22T00:00:00"/>
    <x v="1"/>
    <x v="1"/>
    <n v="10794"/>
    <n v="51"/>
  </r>
  <r>
    <x v="1"/>
    <x v="1"/>
    <x v="5"/>
    <d v="2022-06-27T00:00:00"/>
    <x v="1"/>
    <x v="5"/>
    <n v="13706"/>
    <n v="207"/>
  </r>
  <r>
    <x v="15"/>
    <x v="1"/>
    <x v="7"/>
    <d v="2022-06-30T00:00:00"/>
    <x v="2"/>
    <x v="5"/>
    <n v="4361"/>
    <n v="40"/>
  </r>
  <r>
    <x v="0"/>
    <x v="1"/>
    <x v="16"/>
    <d v="2022-08-30T00:00:00"/>
    <x v="0"/>
    <x v="1"/>
    <n v="10122"/>
    <n v="100"/>
  </r>
  <r>
    <x v="10"/>
    <x v="2"/>
    <x v="17"/>
    <d v="2022-08-23T00:00:00"/>
    <x v="0"/>
    <x v="1"/>
    <n v="994"/>
    <n v="57"/>
  </r>
  <r>
    <x v="21"/>
    <x v="3"/>
    <x v="4"/>
    <d v="2022-08-26T00:00:00"/>
    <x v="4"/>
    <x v="1"/>
    <n v="2268"/>
    <n v="42"/>
  </r>
  <r>
    <x v="2"/>
    <x v="2"/>
    <x v="7"/>
    <d v="2022-03-09T00:00:00"/>
    <x v="3"/>
    <x v="6"/>
    <n v="574"/>
    <n v="156"/>
  </r>
  <r>
    <x v="20"/>
    <x v="0"/>
    <x v="9"/>
    <d v="2022-04-20T00:00:00"/>
    <x v="3"/>
    <x v="3"/>
    <n v="1792"/>
    <n v="23"/>
  </r>
  <r>
    <x v="9"/>
    <x v="5"/>
    <x v="20"/>
    <d v="2022-06-10T00:00:00"/>
    <x v="4"/>
    <x v="5"/>
    <n v="4844"/>
    <n v="539"/>
  </r>
  <r>
    <x v="15"/>
    <x v="2"/>
    <x v="10"/>
    <d v="2022-02-08T00:00:00"/>
    <x v="0"/>
    <x v="4"/>
    <n v="938"/>
    <n v="158"/>
  </r>
  <r>
    <x v="6"/>
    <x v="2"/>
    <x v="14"/>
    <d v="2022-08-25T00:00:00"/>
    <x v="2"/>
    <x v="1"/>
    <n v="4879"/>
    <n v="22"/>
  </r>
  <r>
    <x v="23"/>
    <x v="1"/>
    <x v="2"/>
    <d v="2022-02-16T00:00:00"/>
    <x v="3"/>
    <x v="4"/>
    <n v="9107"/>
    <n v="73"/>
  </r>
  <r>
    <x v="17"/>
    <x v="0"/>
    <x v="4"/>
    <d v="2022-05-30T00:00:00"/>
    <x v="1"/>
    <x v="7"/>
    <n v="12187"/>
    <n v="27"/>
  </r>
  <r>
    <x v="2"/>
    <x v="3"/>
    <x v="6"/>
    <d v="2022-06-29T00:00:00"/>
    <x v="3"/>
    <x v="5"/>
    <n v="5670"/>
    <n v="64"/>
  </r>
  <r>
    <x v="2"/>
    <x v="4"/>
    <x v="11"/>
    <d v="2022-06-16T00:00:00"/>
    <x v="2"/>
    <x v="5"/>
    <n v="476"/>
    <n v="133"/>
  </r>
  <r>
    <x v="6"/>
    <x v="0"/>
    <x v="20"/>
    <d v="2022-03-04T00:00:00"/>
    <x v="4"/>
    <x v="6"/>
    <n v="2681"/>
    <n v="149"/>
  </r>
  <r>
    <x v="14"/>
    <x v="3"/>
    <x v="2"/>
    <d v="2022-03-15T00:00:00"/>
    <x v="0"/>
    <x v="6"/>
    <n v="1533"/>
    <n v="434"/>
  </r>
  <r>
    <x v="14"/>
    <x v="3"/>
    <x v="6"/>
    <d v="2022-01-27T00:00:00"/>
    <x v="2"/>
    <x v="0"/>
    <n v="9765"/>
    <n v="85"/>
  </r>
  <r>
    <x v="12"/>
    <x v="5"/>
    <x v="9"/>
    <d v="2022-07-05T00:00:00"/>
    <x v="0"/>
    <x v="2"/>
    <n v="994"/>
    <n v="118"/>
  </r>
  <r>
    <x v="8"/>
    <x v="4"/>
    <x v="20"/>
    <d v="2022-03-29T00:00:00"/>
    <x v="0"/>
    <x v="6"/>
    <n v="3318"/>
    <n v="299"/>
  </r>
  <r>
    <x v="9"/>
    <x v="5"/>
    <x v="16"/>
    <d v="2022-05-12T00:00:00"/>
    <x v="2"/>
    <x v="7"/>
    <n v="4214"/>
    <n v="35"/>
  </r>
  <r>
    <x v="4"/>
    <x v="4"/>
    <x v="9"/>
    <d v="2022-03-11T00:00:00"/>
    <x v="4"/>
    <x v="6"/>
    <n v="7714"/>
    <n v="44"/>
  </r>
  <r>
    <x v="6"/>
    <x v="3"/>
    <x v="8"/>
    <d v="2022-07-11T00:00:00"/>
    <x v="1"/>
    <x v="2"/>
    <n v="4690"/>
    <n v="299"/>
  </r>
  <r>
    <x v="5"/>
    <x v="3"/>
    <x v="18"/>
    <d v="2022-08-01T00:00:00"/>
    <x v="1"/>
    <x v="1"/>
    <n v="13062"/>
    <n v="62"/>
  </r>
  <r>
    <x v="5"/>
    <x v="0"/>
    <x v="12"/>
    <d v="2022-02-16T00:00:00"/>
    <x v="3"/>
    <x v="4"/>
    <n v="12488"/>
    <n v="200"/>
  </r>
  <r>
    <x v="14"/>
    <x v="4"/>
    <x v="5"/>
    <d v="2022-04-13T00:00:00"/>
    <x v="3"/>
    <x v="3"/>
    <n v="14147"/>
    <n v="235"/>
  </r>
  <r>
    <x v="4"/>
    <x v="1"/>
    <x v="18"/>
    <d v="2022-02-14T00:00:00"/>
    <x v="1"/>
    <x v="4"/>
    <n v="49"/>
    <n v="363"/>
  </r>
  <r>
    <x v="24"/>
    <x v="2"/>
    <x v="2"/>
    <d v="2022-03-14T00:00:00"/>
    <x v="1"/>
    <x v="6"/>
    <n v="10199"/>
    <n v="68"/>
  </r>
  <r>
    <x v="4"/>
    <x v="2"/>
    <x v="12"/>
    <d v="2022-04-26T00:00:00"/>
    <x v="0"/>
    <x v="3"/>
    <n v="11389"/>
    <n v="26"/>
  </r>
  <r>
    <x v="0"/>
    <x v="5"/>
    <x v="15"/>
    <d v="2022-04-05T00:00:00"/>
    <x v="0"/>
    <x v="3"/>
    <n v="3584"/>
    <n v="200"/>
  </r>
  <r>
    <x v="21"/>
    <x v="5"/>
    <x v="9"/>
    <d v="2022-03-03T00:00:00"/>
    <x v="2"/>
    <x v="6"/>
    <n v="12481"/>
    <n v="264"/>
  </r>
  <r>
    <x v="16"/>
    <x v="4"/>
    <x v="12"/>
    <d v="2022-06-13T00:00:00"/>
    <x v="1"/>
    <x v="5"/>
    <n v="2107"/>
    <n v="175"/>
  </r>
  <r>
    <x v="11"/>
    <x v="3"/>
    <x v="21"/>
    <d v="2022-02-14T00:00:00"/>
    <x v="1"/>
    <x v="4"/>
    <n v="8603"/>
    <n v="352"/>
  </r>
  <r>
    <x v="13"/>
    <x v="3"/>
    <x v="4"/>
    <d v="2022-04-18T00:00:00"/>
    <x v="1"/>
    <x v="3"/>
    <n v="7483"/>
    <n v="183"/>
  </r>
  <r>
    <x v="4"/>
    <x v="3"/>
    <x v="1"/>
    <d v="2022-02-01T00:00:00"/>
    <x v="0"/>
    <x v="4"/>
    <n v="3381"/>
    <n v="417"/>
  </r>
  <r>
    <x v="23"/>
    <x v="3"/>
    <x v="7"/>
    <d v="2022-08-04T00:00:00"/>
    <x v="2"/>
    <x v="1"/>
    <n v="2030"/>
    <n v="146"/>
  </r>
  <r>
    <x v="19"/>
    <x v="3"/>
    <x v="16"/>
    <d v="2022-04-05T00:00:00"/>
    <x v="0"/>
    <x v="3"/>
    <n v="6559"/>
    <n v="158"/>
  </r>
  <r>
    <x v="10"/>
    <x v="2"/>
    <x v="4"/>
    <d v="2022-01-26T00:00:00"/>
    <x v="3"/>
    <x v="0"/>
    <n v="10822"/>
    <n v="168"/>
  </r>
  <r>
    <x v="16"/>
    <x v="0"/>
    <x v="5"/>
    <d v="2022-01-21T00:00:00"/>
    <x v="4"/>
    <x v="0"/>
    <n v="18697"/>
    <n v="176"/>
  </r>
  <r>
    <x v="16"/>
    <x v="5"/>
    <x v="5"/>
    <d v="2022-08-22T00:00:00"/>
    <x v="1"/>
    <x v="1"/>
    <n v="5845"/>
    <n v="172"/>
  </r>
  <r>
    <x v="16"/>
    <x v="0"/>
    <x v="9"/>
    <d v="2022-01-27T00:00:00"/>
    <x v="2"/>
    <x v="0"/>
    <n v="2317"/>
    <n v="224"/>
  </r>
  <r>
    <x v="7"/>
    <x v="0"/>
    <x v="6"/>
    <d v="2022-02-16T00:00:00"/>
    <x v="3"/>
    <x v="4"/>
    <n v="10150"/>
    <n v="68"/>
  </r>
  <r>
    <x v="23"/>
    <x v="4"/>
    <x v="17"/>
    <d v="2022-01-03T00:00:00"/>
    <x v="1"/>
    <x v="0"/>
    <n v="3437"/>
    <n v="46"/>
  </r>
  <r>
    <x v="10"/>
    <x v="4"/>
    <x v="14"/>
    <d v="2022-08-24T00:00:00"/>
    <x v="3"/>
    <x v="1"/>
    <n v="4592"/>
    <n v="2"/>
  </r>
  <r>
    <x v="4"/>
    <x v="4"/>
    <x v="12"/>
    <d v="2022-02-07T00:00:00"/>
    <x v="1"/>
    <x v="4"/>
    <n v="5691"/>
    <n v="417"/>
  </r>
  <r>
    <x v="9"/>
    <x v="2"/>
    <x v="3"/>
    <d v="2022-02-11T00:00:00"/>
    <x v="4"/>
    <x v="4"/>
    <n v="4158"/>
    <n v="109"/>
  </r>
  <r>
    <x v="16"/>
    <x v="5"/>
    <x v="10"/>
    <d v="2022-03-29T00:00:00"/>
    <x v="0"/>
    <x v="6"/>
    <n v="5684"/>
    <n v="81"/>
  </r>
  <r>
    <x v="11"/>
    <x v="4"/>
    <x v="2"/>
    <d v="2022-06-15T00:00:00"/>
    <x v="3"/>
    <x v="5"/>
    <n v="693"/>
    <n v="350"/>
  </r>
  <r>
    <x v="17"/>
    <x v="0"/>
    <x v="3"/>
    <d v="2022-04-26T00:00:00"/>
    <x v="0"/>
    <x v="3"/>
    <n v="546"/>
    <n v="142"/>
  </r>
  <r>
    <x v="6"/>
    <x v="2"/>
    <x v="10"/>
    <d v="2022-07-15T00:00:00"/>
    <x v="4"/>
    <x v="2"/>
    <n v="4263"/>
    <n v="264"/>
  </r>
  <r>
    <x v="12"/>
    <x v="1"/>
    <x v="10"/>
    <d v="2022-06-23T00:00:00"/>
    <x v="2"/>
    <x v="5"/>
    <n v="1036"/>
    <n v="20"/>
  </r>
  <r>
    <x v="17"/>
    <x v="2"/>
    <x v="19"/>
    <d v="2022-01-11T00:00:00"/>
    <x v="0"/>
    <x v="0"/>
    <n v="13846"/>
    <n v="421"/>
  </r>
  <r>
    <x v="12"/>
    <x v="0"/>
    <x v="6"/>
    <d v="2022-02-09T00:00:00"/>
    <x v="3"/>
    <x v="4"/>
    <n v="2499"/>
    <n v="271"/>
  </r>
  <r>
    <x v="1"/>
    <x v="0"/>
    <x v="16"/>
    <d v="2022-06-06T00:00:00"/>
    <x v="1"/>
    <x v="5"/>
    <n v="10689"/>
    <n v="204"/>
  </r>
  <r>
    <x v="23"/>
    <x v="0"/>
    <x v="20"/>
    <d v="2022-08-10T00:00:00"/>
    <x v="3"/>
    <x v="1"/>
    <n v="5768"/>
    <n v="235"/>
  </r>
  <r>
    <x v="18"/>
    <x v="2"/>
    <x v="3"/>
    <d v="2022-01-04T00:00:00"/>
    <x v="0"/>
    <x v="0"/>
    <n v="2226"/>
    <n v="46"/>
  </r>
  <r>
    <x v="19"/>
    <x v="5"/>
    <x v="21"/>
    <d v="2022-04-08T00:00:00"/>
    <x v="4"/>
    <x v="3"/>
    <n v="10262"/>
    <n v="15"/>
  </r>
  <r>
    <x v="8"/>
    <x v="0"/>
    <x v="11"/>
    <d v="2022-03-02T00:00:00"/>
    <x v="3"/>
    <x v="6"/>
    <n v="3864"/>
    <n v="430"/>
  </r>
  <r>
    <x v="1"/>
    <x v="5"/>
    <x v="9"/>
    <d v="2022-06-15T00:00:00"/>
    <x v="3"/>
    <x v="5"/>
    <n v="4900"/>
    <n v="709"/>
  </r>
  <r>
    <x v="0"/>
    <x v="2"/>
    <x v="5"/>
    <d v="2022-02-14T00:00:00"/>
    <x v="1"/>
    <x v="4"/>
    <n v="5250"/>
    <n v="47"/>
  </r>
  <r>
    <x v="15"/>
    <x v="0"/>
    <x v="5"/>
    <d v="2022-07-05T00:00:00"/>
    <x v="0"/>
    <x v="2"/>
    <n v="3507"/>
    <n v="380"/>
  </r>
  <r>
    <x v="8"/>
    <x v="1"/>
    <x v="0"/>
    <d v="2022-01-12T00:00:00"/>
    <x v="3"/>
    <x v="0"/>
    <n v="7413"/>
    <n v="465"/>
  </r>
  <r>
    <x v="14"/>
    <x v="1"/>
    <x v="0"/>
    <d v="2022-03-03T00:00:00"/>
    <x v="2"/>
    <x v="6"/>
    <n v="8155"/>
    <n v="96"/>
  </r>
  <r>
    <x v="0"/>
    <x v="3"/>
    <x v="11"/>
    <d v="2022-05-18T00:00:00"/>
    <x v="3"/>
    <x v="7"/>
    <n v="2478"/>
    <n v="188"/>
  </r>
  <r>
    <x v="5"/>
    <x v="1"/>
    <x v="20"/>
    <d v="2022-07-28T00:00:00"/>
    <x v="2"/>
    <x v="2"/>
    <n v="2471"/>
    <n v="202"/>
  </r>
  <r>
    <x v="14"/>
    <x v="0"/>
    <x v="15"/>
    <d v="2022-02-07T00:00:00"/>
    <x v="1"/>
    <x v="4"/>
    <n v="1666"/>
    <n v="106"/>
  </r>
  <r>
    <x v="19"/>
    <x v="1"/>
    <x v="7"/>
    <d v="2022-05-30T00:00:00"/>
    <x v="1"/>
    <x v="7"/>
    <n v="301"/>
    <n v="421"/>
  </r>
  <r>
    <x v="9"/>
    <x v="2"/>
    <x v="17"/>
    <d v="2022-04-25T00:00:00"/>
    <x v="1"/>
    <x v="3"/>
    <n v="8400"/>
    <n v="27"/>
  </r>
  <r>
    <x v="12"/>
    <x v="5"/>
    <x v="1"/>
    <d v="2022-02-16T00:00:00"/>
    <x v="3"/>
    <x v="4"/>
    <n v="6139"/>
    <n v="45"/>
  </r>
  <r>
    <x v="20"/>
    <x v="2"/>
    <x v="9"/>
    <d v="2022-05-04T00:00:00"/>
    <x v="3"/>
    <x v="7"/>
    <n v="1288"/>
    <n v="60"/>
  </r>
  <r>
    <x v="1"/>
    <x v="5"/>
    <x v="21"/>
    <d v="2022-06-02T00:00:00"/>
    <x v="2"/>
    <x v="5"/>
    <n v="7077"/>
    <n v="77"/>
  </r>
  <r>
    <x v="17"/>
    <x v="4"/>
    <x v="20"/>
    <d v="2022-07-11T00:00:00"/>
    <x v="1"/>
    <x v="2"/>
    <n v="2317"/>
    <n v="464"/>
  </r>
  <r>
    <x v="12"/>
    <x v="3"/>
    <x v="12"/>
    <d v="2022-06-07T00:00:00"/>
    <x v="0"/>
    <x v="5"/>
    <n v="63"/>
    <n v="60"/>
  </r>
  <r>
    <x v="3"/>
    <x v="0"/>
    <x v="16"/>
    <d v="2022-07-06T00:00:00"/>
    <x v="3"/>
    <x v="2"/>
    <n v="9744"/>
    <n v="157"/>
  </r>
  <r>
    <x v="15"/>
    <x v="1"/>
    <x v="17"/>
    <d v="2022-06-15T00:00:00"/>
    <x v="3"/>
    <x v="5"/>
    <n v="9954"/>
    <n v="154"/>
  </r>
  <r>
    <x v="23"/>
    <x v="1"/>
    <x v="0"/>
    <d v="2022-04-14T00:00:00"/>
    <x v="2"/>
    <x v="3"/>
    <n v="1260"/>
    <n v="239"/>
  </r>
  <r>
    <x v="21"/>
    <x v="1"/>
    <x v="9"/>
    <d v="2022-08-08T00:00:00"/>
    <x v="1"/>
    <x v="1"/>
    <n v="469"/>
    <n v="163"/>
  </r>
  <r>
    <x v="11"/>
    <x v="0"/>
    <x v="9"/>
    <d v="2022-03-29T00:00:00"/>
    <x v="0"/>
    <x v="6"/>
    <n v="973"/>
    <n v="28"/>
  </r>
  <r>
    <x v="13"/>
    <x v="2"/>
    <x v="10"/>
    <d v="2022-07-04T00:00:00"/>
    <x v="1"/>
    <x v="2"/>
    <n v="3647"/>
    <n v="76"/>
  </r>
  <r>
    <x v="24"/>
    <x v="1"/>
    <x v="4"/>
    <d v="2022-02-16T00:00:00"/>
    <x v="3"/>
    <x v="4"/>
    <n v="455"/>
    <n v="96"/>
  </r>
  <r>
    <x v="7"/>
    <x v="5"/>
    <x v="12"/>
    <d v="2022-05-02T00:00:00"/>
    <x v="1"/>
    <x v="7"/>
    <n v="2520"/>
    <n v="156"/>
  </r>
  <r>
    <x v="1"/>
    <x v="1"/>
    <x v="8"/>
    <d v="2022-07-21T00:00:00"/>
    <x v="2"/>
    <x v="2"/>
    <n v="10500"/>
    <n v="106"/>
  </r>
  <r>
    <x v="5"/>
    <x v="2"/>
    <x v="4"/>
    <d v="2022-08-18T00:00:00"/>
    <x v="2"/>
    <x v="1"/>
    <n v="7952"/>
    <n v="235"/>
  </r>
  <r>
    <x v="16"/>
    <x v="4"/>
    <x v="1"/>
    <d v="2022-06-22T00:00:00"/>
    <x v="3"/>
    <x v="5"/>
    <n v="483"/>
    <n v="259"/>
  </r>
  <r>
    <x v="21"/>
    <x v="0"/>
    <x v="2"/>
    <d v="2022-07-19T00:00:00"/>
    <x v="0"/>
    <x v="2"/>
    <n v="4872"/>
    <n v="126"/>
  </r>
  <r>
    <x v="22"/>
    <x v="0"/>
    <x v="2"/>
    <d v="2022-08-12T00:00:00"/>
    <x v="4"/>
    <x v="1"/>
    <n v="7756"/>
    <n v="85"/>
  </r>
  <r>
    <x v="22"/>
    <x v="4"/>
    <x v="18"/>
    <d v="2022-06-07T00:00:00"/>
    <x v="0"/>
    <x v="5"/>
    <n v="5446"/>
    <n v="132"/>
  </r>
  <r>
    <x v="11"/>
    <x v="5"/>
    <x v="2"/>
    <d v="2022-03-08T00:00:00"/>
    <x v="0"/>
    <x v="6"/>
    <n v="6594"/>
    <n v="91"/>
  </r>
  <r>
    <x v="24"/>
    <x v="2"/>
    <x v="18"/>
    <d v="2022-04-08T00:00:00"/>
    <x v="4"/>
    <x v="3"/>
    <n v="1470"/>
    <n v="167"/>
  </r>
  <r>
    <x v="14"/>
    <x v="5"/>
    <x v="8"/>
    <d v="2022-05-06T00:00:00"/>
    <x v="4"/>
    <x v="7"/>
    <n v="721"/>
    <n v="203"/>
  </r>
  <r>
    <x v="13"/>
    <x v="1"/>
    <x v="9"/>
    <d v="2022-05-31T00:00:00"/>
    <x v="0"/>
    <x v="7"/>
    <n v="4494"/>
    <n v="11"/>
  </r>
  <r>
    <x v="1"/>
    <x v="2"/>
    <x v="0"/>
    <d v="2022-01-13T00:00:00"/>
    <x v="2"/>
    <x v="0"/>
    <n v="2674"/>
    <n v="295"/>
  </r>
  <r>
    <x v="17"/>
    <x v="4"/>
    <x v="21"/>
    <d v="2022-03-15T00:00:00"/>
    <x v="0"/>
    <x v="6"/>
    <n v="658"/>
    <n v="77"/>
  </r>
  <r>
    <x v="19"/>
    <x v="5"/>
    <x v="2"/>
    <d v="2022-02-16T00:00:00"/>
    <x v="3"/>
    <x v="4"/>
    <n v="1127"/>
    <n v="319"/>
  </r>
  <r>
    <x v="2"/>
    <x v="4"/>
    <x v="21"/>
    <d v="2022-01-14T00:00:00"/>
    <x v="4"/>
    <x v="0"/>
    <n v="7364"/>
    <n v="196"/>
  </r>
  <r>
    <x v="7"/>
    <x v="2"/>
    <x v="14"/>
    <d v="2022-03-21T00:00:00"/>
    <x v="1"/>
    <x v="6"/>
    <n v="6818"/>
    <n v="102"/>
  </r>
  <r>
    <x v="13"/>
    <x v="5"/>
    <x v="9"/>
    <d v="2022-05-17T00:00:00"/>
    <x v="0"/>
    <x v="7"/>
    <n v="6776"/>
    <n v="312"/>
  </r>
  <r>
    <x v="21"/>
    <x v="3"/>
    <x v="1"/>
    <d v="2022-08-08T00:00:00"/>
    <x v="1"/>
    <x v="1"/>
    <n v="15099"/>
    <n v="55"/>
  </r>
  <r>
    <x v="22"/>
    <x v="5"/>
    <x v="11"/>
    <d v="2022-04-26T00:00:00"/>
    <x v="0"/>
    <x v="3"/>
    <n v="3612"/>
    <n v="82"/>
  </r>
  <r>
    <x v="22"/>
    <x v="2"/>
    <x v="21"/>
    <d v="2022-04-15T00:00:00"/>
    <x v="4"/>
    <x v="3"/>
    <n v="3710"/>
    <n v="260"/>
  </r>
  <r>
    <x v="4"/>
    <x v="5"/>
    <x v="8"/>
    <d v="2022-05-19T00:00:00"/>
    <x v="2"/>
    <x v="7"/>
    <n v="6111"/>
    <n v="591"/>
  </r>
  <r>
    <x v="17"/>
    <x v="5"/>
    <x v="9"/>
    <d v="2022-01-10T00:00:00"/>
    <x v="1"/>
    <x v="0"/>
    <n v="2702"/>
    <n v="24"/>
  </r>
  <r>
    <x v="9"/>
    <x v="3"/>
    <x v="5"/>
    <d v="2022-05-04T00:00:00"/>
    <x v="3"/>
    <x v="7"/>
    <n v="483"/>
    <n v="228"/>
  </r>
  <r>
    <x v="13"/>
    <x v="5"/>
    <x v="14"/>
    <d v="2022-04-05T00:00:00"/>
    <x v="0"/>
    <x v="3"/>
    <n v="5887"/>
    <n v="268"/>
  </r>
  <r>
    <x v="19"/>
    <x v="1"/>
    <x v="5"/>
    <d v="2022-01-17T00:00:00"/>
    <x v="1"/>
    <x v="0"/>
    <n v="952"/>
    <n v="68"/>
  </r>
  <r>
    <x v="13"/>
    <x v="1"/>
    <x v="12"/>
    <d v="2022-03-22T00:00:00"/>
    <x v="0"/>
    <x v="6"/>
    <n v="10647"/>
    <n v="173"/>
  </r>
  <r>
    <x v="23"/>
    <x v="2"/>
    <x v="14"/>
    <d v="2022-07-05T00:00:00"/>
    <x v="0"/>
    <x v="2"/>
    <n v="6055"/>
    <n v="93"/>
  </r>
  <r>
    <x v="4"/>
    <x v="5"/>
    <x v="7"/>
    <d v="2022-04-27T00:00:00"/>
    <x v="3"/>
    <x v="3"/>
    <n v="8757"/>
    <n v="338"/>
  </r>
  <r>
    <x v="16"/>
    <x v="5"/>
    <x v="16"/>
    <d v="2022-08-12T00:00:00"/>
    <x v="4"/>
    <x v="1"/>
    <n v="6055"/>
    <n v="73"/>
  </r>
  <r>
    <x v="3"/>
    <x v="0"/>
    <x v="19"/>
    <d v="2022-03-11T00:00:00"/>
    <x v="4"/>
    <x v="6"/>
    <n v="721"/>
    <n v="251"/>
  </r>
  <r>
    <x v="0"/>
    <x v="0"/>
    <x v="13"/>
    <d v="2022-05-13T00:00:00"/>
    <x v="4"/>
    <x v="7"/>
    <n v="8589"/>
    <n v="229"/>
  </r>
  <r>
    <x v="17"/>
    <x v="4"/>
    <x v="3"/>
    <d v="2022-05-12T00:00:00"/>
    <x v="2"/>
    <x v="7"/>
    <n v="11781"/>
    <n v="91"/>
  </r>
  <r>
    <x v="6"/>
    <x v="4"/>
    <x v="17"/>
    <d v="2022-01-12T00:00:00"/>
    <x v="3"/>
    <x v="0"/>
    <n v="672"/>
    <n v="194"/>
  </r>
  <r>
    <x v="22"/>
    <x v="3"/>
    <x v="11"/>
    <d v="2022-03-29T00:00:00"/>
    <x v="0"/>
    <x v="6"/>
    <n v="12558"/>
    <n v="403"/>
  </r>
  <r>
    <x v="13"/>
    <x v="1"/>
    <x v="6"/>
    <d v="2022-03-14T00:00:00"/>
    <x v="1"/>
    <x v="6"/>
    <n v="8337"/>
    <n v="12"/>
  </r>
  <r>
    <x v="8"/>
    <x v="3"/>
    <x v="4"/>
    <d v="2022-05-24T00:00:00"/>
    <x v="0"/>
    <x v="7"/>
    <n v="8134"/>
    <n v="195"/>
  </r>
  <r>
    <x v="17"/>
    <x v="5"/>
    <x v="10"/>
    <d v="2022-01-28T00:00:00"/>
    <x v="4"/>
    <x v="0"/>
    <n v="8491"/>
    <n v="75"/>
  </r>
  <r>
    <x v="12"/>
    <x v="1"/>
    <x v="16"/>
    <d v="2022-05-24T00:00:00"/>
    <x v="0"/>
    <x v="7"/>
    <n v="3066"/>
    <n v="96"/>
  </r>
  <r>
    <x v="6"/>
    <x v="2"/>
    <x v="2"/>
    <d v="2022-08-19T00:00:00"/>
    <x v="4"/>
    <x v="1"/>
    <n v="301"/>
    <n v="205"/>
  </r>
  <r>
    <x v="10"/>
    <x v="2"/>
    <x v="12"/>
    <d v="2022-05-17T00:00:00"/>
    <x v="0"/>
    <x v="7"/>
    <n v="4410"/>
    <n v="323"/>
  </r>
  <r>
    <x v="0"/>
    <x v="4"/>
    <x v="14"/>
    <d v="2022-06-07T00:00:00"/>
    <x v="0"/>
    <x v="5"/>
    <n v="6559"/>
    <n v="119"/>
  </r>
  <r>
    <x v="24"/>
    <x v="5"/>
    <x v="10"/>
    <d v="2022-07-26T00:00:00"/>
    <x v="0"/>
    <x v="2"/>
    <n v="574"/>
    <n v="217"/>
  </r>
  <r>
    <x v="23"/>
    <x v="1"/>
    <x v="8"/>
    <d v="2022-07-28T00:00:00"/>
    <x v="2"/>
    <x v="2"/>
    <n v="2086"/>
    <n v="384"/>
  </r>
  <r>
    <x v="10"/>
    <x v="1"/>
    <x v="21"/>
    <d v="2022-05-23T00:00:00"/>
    <x v="1"/>
    <x v="7"/>
    <n v="5075"/>
    <n v="34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DF1CC97-138B-41B3-8C58-E053CAC95603}" name="PivotTable10" cacheId="25"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7">
  <location ref="Z4:AA5" firstHeaderRow="0" firstDataRow="1" firstDataCol="0"/>
  <pivotFields count="8">
    <pivotField showAll="0">
      <items count="26">
        <item x="19"/>
        <item x="8"/>
        <item x="12"/>
        <item x="6"/>
        <item x="21"/>
        <item x="24"/>
        <item x="14"/>
        <item x="17"/>
        <item x="23"/>
        <item x="2"/>
        <item x="5"/>
        <item x="15"/>
        <item x="3"/>
        <item x="0"/>
        <item x="16"/>
        <item x="10"/>
        <item x="20"/>
        <item x="22"/>
        <item x="9"/>
        <item x="11"/>
        <item x="4"/>
        <item x="7"/>
        <item x="13"/>
        <item x="1"/>
        <item x="18"/>
        <item t="default"/>
      </items>
    </pivotField>
    <pivotField showAll="0">
      <items count="7">
        <item x="2"/>
        <item x="5"/>
        <item x="1"/>
        <item x="3"/>
        <item x="0"/>
        <item x="4"/>
        <item t="default"/>
      </items>
    </pivotField>
    <pivotField showAll="0"/>
    <pivotField numFmtId="14" showAll="0"/>
    <pivotField showAll="0">
      <items count="6">
        <item x="1"/>
        <item x="0"/>
        <item x="3"/>
        <item x="2"/>
        <item x="4"/>
        <item t="default"/>
      </items>
    </pivotField>
    <pivotField showAll="0"/>
    <pivotField dataField="1" showAll="0"/>
    <pivotField dataField="1" showAll="0"/>
  </pivotFields>
  <rowItems count="1">
    <i/>
  </rowItems>
  <colFields count="1">
    <field x="-2"/>
  </colFields>
  <colItems count="2">
    <i>
      <x/>
    </i>
    <i i="1">
      <x v="1"/>
    </i>
  </colItems>
  <dataFields count="2">
    <dataField name="Sum of Amount" fld="6" baseField="0" baseItem="0" numFmtId="165"/>
    <dataField name="Sum of Boxes Shipped" fld="7" baseField="0" baseItem="0" numFmtId="165"/>
  </dataFields>
  <formats count="2">
    <format dxfId="19">
      <pivotArea outline="0" collapsedLevelsAreSubtotals="1" fieldPosition="0">
        <references count="1">
          <reference field="4294967294" count="1" selected="0">
            <x v="0"/>
          </reference>
        </references>
      </pivotArea>
    </format>
    <format dxfId="18">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8822E04-D65B-43E5-B0CC-96ECA421324F}" name="PivotTable6" cacheId="25"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2">
  <location ref="R4:X15" firstHeaderRow="1" firstDataRow="2" firstDataCol="1"/>
  <pivotFields count="8">
    <pivotField axis="axisRow" showAll="0" measureFilter="1">
      <items count="26">
        <item x="19"/>
        <item x="8"/>
        <item x="12"/>
        <item x="6"/>
        <item x="21"/>
        <item x="24"/>
        <item x="14"/>
        <item x="17"/>
        <item x="23"/>
        <item x="2"/>
        <item x="5"/>
        <item x="15"/>
        <item x="3"/>
        <item x="0"/>
        <item x="16"/>
        <item x="10"/>
        <item x="20"/>
        <item x="22"/>
        <item x="9"/>
        <item x="11"/>
        <item x="4"/>
        <item x="7"/>
        <item x="13"/>
        <item x="1"/>
        <item x="18"/>
        <item t="default"/>
      </items>
    </pivotField>
    <pivotField axis="axisCol" showAll="0">
      <items count="7">
        <item x="2"/>
        <item x="5"/>
        <item x="1"/>
        <item x="3"/>
        <item x="0"/>
        <item x="4"/>
        <item t="default"/>
      </items>
    </pivotField>
    <pivotField showAll="0"/>
    <pivotField numFmtId="14" showAll="0"/>
    <pivotField showAll="0">
      <items count="6">
        <item x="1"/>
        <item x="0"/>
        <item x="3"/>
        <item x="2"/>
        <item x="4"/>
        <item t="default"/>
      </items>
    </pivotField>
    <pivotField showAll="0"/>
    <pivotField dataField="1" showAll="0"/>
    <pivotField showAll="0"/>
  </pivotFields>
  <rowFields count="1">
    <field x="0"/>
  </rowFields>
  <rowItems count="10">
    <i>
      <x v="2"/>
    </i>
    <i>
      <x v="3"/>
    </i>
    <i>
      <x v="5"/>
    </i>
    <i>
      <x v="7"/>
    </i>
    <i>
      <x v="14"/>
    </i>
    <i>
      <x v="16"/>
    </i>
    <i>
      <x v="17"/>
    </i>
    <i>
      <x v="19"/>
    </i>
    <i>
      <x v="20"/>
    </i>
    <i>
      <x v="23"/>
    </i>
  </rowItems>
  <colFields count="1">
    <field x="1"/>
  </colFields>
  <colItems count="6">
    <i>
      <x/>
    </i>
    <i>
      <x v="1"/>
    </i>
    <i>
      <x v="2"/>
    </i>
    <i>
      <x v="3"/>
    </i>
    <i>
      <x v="4"/>
    </i>
    <i>
      <x v="5"/>
    </i>
  </colItems>
  <dataFields count="1">
    <dataField name="Sum of Amount" fld="6" baseField="1" baseItem="0"/>
  </dataFields>
  <chartFormats count="30">
    <chartFormat chart="15" format="0" series="1">
      <pivotArea type="data" outline="0" fieldPosition="0">
        <references count="1">
          <reference field="4294967294" count="1" selected="0">
            <x v="0"/>
          </reference>
        </references>
      </pivotArea>
    </chartFormat>
    <chartFormat chart="15" format="1">
      <pivotArea type="data" outline="0" fieldPosition="0">
        <references count="2">
          <reference field="4294967294" count="1" selected="0">
            <x v="0"/>
          </reference>
          <reference field="1" count="1" selected="0">
            <x v="5"/>
          </reference>
        </references>
      </pivotArea>
    </chartFormat>
    <chartFormat chart="17" format="0" series="1">
      <pivotArea type="data" outline="0" fieldPosition="0">
        <references count="2">
          <reference field="4294967294" count="1" selected="0">
            <x v="0"/>
          </reference>
          <reference field="1" count="1" selected="0">
            <x v="0"/>
          </reference>
        </references>
      </pivotArea>
    </chartFormat>
    <chartFormat chart="17" format="1" series="1">
      <pivotArea type="data" outline="0" fieldPosition="0">
        <references count="2">
          <reference field="4294967294" count="1" selected="0">
            <x v="0"/>
          </reference>
          <reference field="1" count="1" selected="0">
            <x v="1"/>
          </reference>
        </references>
      </pivotArea>
    </chartFormat>
    <chartFormat chart="17" format="2" series="1">
      <pivotArea type="data" outline="0" fieldPosition="0">
        <references count="2">
          <reference field="4294967294" count="1" selected="0">
            <x v="0"/>
          </reference>
          <reference field="1" count="1" selected="0">
            <x v="2"/>
          </reference>
        </references>
      </pivotArea>
    </chartFormat>
    <chartFormat chart="17" format="3" series="1">
      <pivotArea type="data" outline="0" fieldPosition="0">
        <references count="2">
          <reference field="4294967294" count="1" selected="0">
            <x v="0"/>
          </reference>
          <reference field="1" count="1" selected="0">
            <x v="3"/>
          </reference>
        </references>
      </pivotArea>
    </chartFormat>
    <chartFormat chart="17" format="4" series="1">
      <pivotArea type="data" outline="0" fieldPosition="0">
        <references count="2">
          <reference field="4294967294" count="1" selected="0">
            <x v="0"/>
          </reference>
          <reference field="1" count="1" selected="0">
            <x v="4"/>
          </reference>
        </references>
      </pivotArea>
    </chartFormat>
    <chartFormat chart="17" format="5" series="1">
      <pivotArea type="data" outline="0" fieldPosition="0">
        <references count="2">
          <reference field="4294967294" count="1" selected="0">
            <x v="0"/>
          </reference>
          <reference field="1" count="1" selected="0">
            <x v="5"/>
          </reference>
        </references>
      </pivotArea>
    </chartFormat>
    <chartFormat chart="19" format="6" series="1">
      <pivotArea type="data" outline="0" fieldPosition="0">
        <references count="2">
          <reference field="4294967294" count="1" selected="0">
            <x v="0"/>
          </reference>
          <reference field="1" count="1" selected="0">
            <x v="0"/>
          </reference>
        </references>
      </pivotArea>
    </chartFormat>
    <chartFormat chart="19" format="7" series="1">
      <pivotArea type="data" outline="0" fieldPosition="0">
        <references count="2">
          <reference field="4294967294" count="1" selected="0">
            <x v="0"/>
          </reference>
          <reference field="1" count="1" selected="0">
            <x v="1"/>
          </reference>
        </references>
      </pivotArea>
    </chartFormat>
    <chartFormat chart="19" format="8" series="1">
      <pivotArea type="data" outline="0" fieldPosition="0">
        <references count="2">
          <reference field="4294967294" count="1" selected="0">
            <x v="0"/>
          </reference>
          <reference field="1" count="1" selected="0">
            <x v="2"/>
          </reference>
        </references>
      </pivotArea>
    </chartFormat>
    <chartFormat chart="19" format="9" series="1">
      <pivotArea type="data" outline="0" fieldPosition="0">
        <references count="2">
          <reference field="4294967294" count="1" selected="0">
            <x v="0"/>
          </reference>
          <reference field="1" count="1" selected="0">
            <x v="3"/>
          </reference>
        </references>
      </pivotArea>
    </chartFormat>
    <chartFormat chart="19" format="10" series="1">
      <pivotArea type="data" outline="0" fieldPosition="0">
        <references count="2">
          <reference field="4294967294" count="1" selected="0">
            <x v="0"/>
          </reference>
          <reference field="1" count="1" selected="0">
            <x v="4"/>
          </reference>
        </references>
      </pivotArea>
    </chartFormat>
    <chartFormat chart="19" format="11" series="1">
      <pivotArea type="data" outline="0" fieldPosition="0">
        <references count="2">
          <reference field="4294967294" count="1" selected="0">
            <x v="0"/>
          </reference>
          <reference field="1" count="1" selected="0">
            <x v="5"/>
          </reference>
        </references>
      </pivotArea>
    </chartFormat>
    <chartFormat chart="20" format="12" series="1">
      <pivotArea type="data" outline="0" fieldPosition="0">
        <references count="2">
          <reference field="4294967294" count="1" selected="0">
            <x v="0"/>
          </reference>
          <reference field="1" count="1" selected="0">
            <x v="0"/>
          </reference>
        </references>
      </pivotArea>
    </chartFormat>
    <chartFormat chart="20" format="13" series="1">
      <pivotArea type="data" outline="0" fieldPosition="0">
        <references count="2">
          <reference field="4294967294" count="1" selected="0">
            <x v="0"/>
          </reference>
          <reference field="1" count="1" selected="0">
            <x v="1"/>
          </reference>
        </references>
      </pivotArea>
    </chartFormat>
    <chartFormat chart="20" format="14" series="1">
      <pivotArea type="data" outline="0" fieldPosition="0">
        <references count="2">
          <reference field="4294967294" count="1" selected="0">
            <x v="0"/>
          </reference>
          <reference field="1" count="1" selected="0">
            <x v="2"/>
          </reference>
        </references>
      </pivotArea>
    </chartFormat>
    <chartFormat chart="20" format="15" series="1">
      <pivotArea type="data" outline="0" fieldPosition="0">
        <references count="2">
          <reference field="4294967294" count="1" selected="0">
            <x v="0"/>
          </reference>
          <reference field="1" count="1" selected="0">
            <x v="3"/>
          </reference>
        </references>
      </pivotArea>
    </chartFormat>
    <chartFormat chart="20" format="16" series="1">
      <pivotArea type="data" outline="0" fieldPosition="0">
        <references count="2">
          <reference field="4294967294" count="1" selected="0">
            <x v="0"/>
          </reference>
          <reference field="1" count="1" selected="0">
            <x v="4"/>
          </reference>
        </references>
      </pivotArea>
    </chartFormat>
    <chartFormat chart="20" format="17" series="1">
      <pivotArea type="data" outline="0" fieldPosition="0">
        <references count="2">
          <reference field="4294967294" count="1" selected="0">
            <x v="0"/>
          </reference>
          <reference field="1" count="1" selected="0">
            <x v="5"/>
          </reference>
        </references>
      </pivotArea>
    </chartFormat>
    <chartFormat chart="21" format="12" series="1">
      <pivotArea type="data" outline="0" fieldPosition="0">
        <references count="2">
          <reference field="4294967294" count="1" selected="0">
            <x v="0"/>
          </reference>
          <reference field="1" count="1" selected="0">
            <x v="0"/>
          </reference>
        </references>
      </pivotArea>
    </chartFormat>
    <chartFormat chart="21" format="13" series="1">
      <pivotArea type="data" outline="0" fieldPosition="0">
        <references count="2">
          <reference field="4294967294" count="1" selected="0">
            <x v="0"/>
          </reference>
          <reference field="1" count="1" selected="0">
            <x v="1"/>
          </reference>
        </references>
      </pivotArea>
    </chartFormat>
    <chartFormat chart="21" format="14" series="1">
      <pivotArea type="data" outline="0" fieldPosition="0">
        <references count="2">
          <reference field="4294967294" count="1" selected="0">
            <x v="0"/>
          </reference>
          <reference field="1" count="1" selected="0">
            <x v="2"/>
          </reference>
        </references>
      </pivotArea>
    </chartFormat>
    <chartFormat chart="21" format="15" series="1">
      <pivotArea type="data" outline="0" fieldPosition="0">
        <references count="2">
          <reference field="4294967294" count="1" selected="0">
            <x v="0"/>
          </reference>
          <reference field="1" count="1" selected="0">
            <x v="3"/>
          </reference>
        </references>
      </pivotArea>
    </chartFormat>
    <chartFormat chart="21" format="16" series="1">
      <pivotArea type="data" outline="0" fieldPosition="0">
        <references count="2">
          <reference field="4294967294" count="1" selected="0">
            <x v="0"/>
          </reference>
          <reference field="1" count="1" selected="0">
            <x v="4"/>
          </reference>
        </references>
      </pivotArea>
    </chartFormat>
    <chartFormat chart="21" format="17" series="1">
      <pivotArea type="data" outline="0" fieldPosition="0">
        <references count="2">
          <reference field="4294967294" count="1" selected="0">
            <x v="0"/>
          </reference>
          <reference field="1" count="1" selected="0">
            <x v="5"/>
          </reference>
        </references>
      </pivotArea>
    </chartFormat>
    <chartFormat chart="21" format="18"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0"/>
          </reference>
        </references>
      </pivotArea>
    </chartFormat>
    <chartFormat chart="19" format="12" series="1">
      <pivotArea type="data" outline="0" fieldPosition="0">
        <references count="1">
          <reference field="4294967294" count="1" selected="0">
            <x v="0"/>
          </reference>
        </references>
      </pivotArea>
    </chartFormat>
    <chartFormat chart="17"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322BF95-1722-40D9-8A59-345BF7FDDC5D}" name="PivotTable5" cacheId="25"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21">
  <location ref="O4:P10" firstHeaderRow="1" firstDataRow="1" firstDataCol="1"/>
  <pivotFields count="8">
    <pivotField showAll="0"/>
    <pivotField axis="axisRow" showAll="0">
      <items count="7">
        <item x="2"/>
        <item x="5"/>
        <item x="1"/>
        <item x="3"/>
        <item x="0"/>
        <item x="4"/>
        <item t="default"/>
      </items>
    </pivotField>
    <pivotField showAll="0"/>
    <pivotField numFmtId="14" showAll="0"/>
    <pivotField showAll="0">
      <items count="6">
        <item x="1"/>
        <item x="0"/>
        <item x="3"/>
        <item x="2"/>
        <item x="4"/>
        <item t="default"/>
      </items>
    </pivotField>
    <pivotField showAll="0"/>
    <pivotField dataField="1" showAll="0"/>
    <pivotField showAll="0"/>
  </pivotFields>
  <rowFields count="1">
    <field x="1"/>
  </rowFields>
  <rowItems count="6">
    <i>
      <x/>
    </i>
    <i>
      <x v="1"/>
    </i>
    <i>
      <x v="2"/>
    </i>
    <i>
      <x v="3"/>
    </i>
    <i>
      <x v="4"/>
    </i>
    <i>
      <x v="5"/>
    </i>
  </rowItems>
  <colItems count="1">
    <i/>
  </colItems>
  <dataFields count="1">
    <dataField name="Sum of Amount" fld="6" baseField="1" baseItem="0"/>
  </dataFields>
  <chartFormats count="9">
    <chartFormat chart="15" format="0" series="1">
      <pivotArea type="data" outline="0" fieldPosition="0">
        <references count="1">
          <reference field="4294967294" count="1" selected="0">
            <x v="0"/>
          </reference>
        </references>
      </pivotArea>
    </chartFormat>
    <chartFormat chart="15" format="1">
      <pivotArea type="data" outline="0" fieldPosition="0">
        <references count="2">
          <reference field="4294967294" count="1" selected="0">
            <x v="0"/>
          </reference>
          <reference field="1" count="1" selected="0">
            <x v="5"/>
          </reference>
        </references>
      </pivotArea>
    </chartFormat>
    <chartFormat chart="20" format="9" series="1">
      <pivotArea type="data" outline="0" fieldPosition="0">
        <references count="1">
          <reference field="4294967294" count="1" selected="0">
            <x v="0"/>
          </reference>
        </references>
      </pivotArea>
    </chartFormat>
    <chartFormat chart="20" format="10">
      <pivotArea type="data" outline="0" fieldPosition="0">
        <references count="2">
          <reference field="4294967294" count="1" selected="0">
            <x v="0"/>
          </reference>
          <reference field="1" count="1" selected="0">
            <x v="0"/>
          </reference>
        </references>
      </pivotArea>
    </chartFormat>
    <chartFormat chart="20" format="11">
      <pivotArea type="data" outline="0" fieldPosition="0">
        <references count="2">
          <reference field="4294967294" count="1" selected="0">
            <x v="0"/>
          </reference>
          <reference field="1" count="1" selected="0">
            <x v="1"/>
          </reference>
        </references>
      </pivotArea>
    </chartFormat>
    <chartFormat chart="20" format="12">
      <pivotArea type="data" outline="0" fieldPosition="0">
        <references count="2">
          <reference field="4294967294" count="1" selected="0">
            <x v="0"/>
          </reference>
          <reference field="1" count="1" selected="0">
            <x v="2"/>
          </reference>
        </references>
      </pivotArea>
    </chartFormat>
    <chartFormat chart="20" format="13">
      <pivotArea type="data" outline="0" fieldPosition="0">
        <references count="2">
          <reference field="4294967294" count="1" selected="0">
            <x v="0"/>
          </reference>
          <reference field="1" count="1" selected="0">
            <x v="3"/>
          </reference>
        </references>
      </pivotArea>
    </chartFormat>
    <chartFormat chart="20" format="14">
      <pivotArea type="data" outline="0" fieldPosition="0">
        <references count="2">
          <reference field="4294967294" count="1" selected="0">
            <x v="0"/>
          </reference>
          <reference field="1" count="1" selected="0">
            <x v="4"/>
          </reference>
        </references>
      </pivotArea>
    </chartFormat>
    <chartFormat chart="20" format="15">
      <pivotArea type="data" outline="0" fieldPosition="0">
        <references count="2">
          <reference field="4294967294" count="1" selected="0">
            <x v="0"/>
          </reference>
          <reference field="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2583C3C-4F5B-408D-8563-2F349B070394}" name="PivotTable4" cacheId="25"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7">
  <location ref="J3:K11" firstHeaderRow="1" firstDataRow="1" firstDataCol="1"/>
  <pivotFields count="8">
    <pivotField showAll="0"/>
    <pivotField showAll="0">
      <items count="7">
        <item x="2"/>
        <item x="5"/>
        <item x="1"/>
        <item x="3"/>
        <item x="0"/>
        <item x="4"/>
        <item t="default"/>
      </items>
    </pivotField>
    <pivotField showAll="0"/>
    <pivotField numFmtId="14" showAll="0"/>
    <pivotField showAll="0">
      <items count="6">
        <item x="1"/>
        <item x="0"/>
        <item x="3"/>
        <item x="2"/>
        <item x="4"/>
        <item t="default"/>
      </items>
    </pivotField>
    <pivotField axis="axisRow" showAll="0">
      <items count="9">
        <item x="0"/>
        <item x="4"/>
        <item x="6"/>
        <item x="3"/>
        <item x="7"/>
        <item x="5"/>
        <item x="2"/>
        <item x="1"/>
        <item t="default"/>
      </items>
    </pivotField>
    <pivotField showAll="0"/>
    <pivotField dataField="1" showAll="0"/>
  </pivotFields>
  <rowFields count="1">
    <field x="5"/>
  </rowFields>
  <rowItems count="8">
    <i>
      <x/>
    </i>
    <i>
      <x v="1"/>
    </i>
    <i>
      <x v="2"/>
    </i>
    <i>
      <x v="3"/>
    </i>
    <i>
      <x v="4"/>
    </i>
    <i>
      <x v="5"/>
    </i>
    <i>
      <x v="6"/>
    </i>
    <i>
      <x v="7"/>
    </i>
  </rowItems>
  <colItems count="1">
    <i/>
  </colItems>
  <dataFields count="1">
    <dataField name="Sum of Boxes Shipped" fld="7" baseField="0" baseItem="0"/>
  </dataFields>
  <chartFormats count="1">
    <chartFormat chart="16"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0E2E451-B249-4941-87F7-8F17D24A48AB}" name="PivotTable3" cacheId="25"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3">
  <location ref="G3:H13" firstHeaderRow="1" firstDataRow="1" firstDataCol="1"/>
  <pivotFields count="8">
    <pivotField showAll="0"/>
    <pivotField showAll="0">
      <items count="7">
        <item x="2"/>
        <item x="5"/>
        <item x="1"/>
        <item x="3"/>
        <item x="0"/>
        <item x="4"/>
        <item t="default"/>
      </items>
    </pivotField>
    <pivotField axis="axisRow" dataField="1" showAll="0" measureFilter="1">
      <items count="23">
        <item x="6"/>
        <item x="21"/>
        <item x="1"/>
        <item x="4"/>
        <item x="5"/>
        <item x="16"/>
        <item x="19"/>
        <item x="20"/>
        <item x="18"/>
        <item x="9"/>
        <item x="8"/>
        <item x="13"/>
        <item x="15"/>
        <item x="11"/>
        <item x="0"/>
        <item x="7"/>
        <item x="10"/>
        <item x="2"/>
        <item x="17"/>
        <item x="3"/>
        <item x="12"/>
        <item x="14"/>
        <item t="default"/>
      </items>
    </pivotField>
    <pivotField numFmtId="14" showAll="0"/>
    <pivotField showAll="0">
      <items count="6">
        <item x="1"/>
        <item x="0"/>
        <item x="3"/>
        <item x="2"/>
        <item x="4"/>
        <item t="default"/>
      </items>
    </pivotField>
    <pivotField showAll="0"/>
    <pivotField showAll="0"/>
    <pivotField showAll="0"/>
  </pivotFields>
  <rowFields count="1">
    <field x="2"/>
  </rowFields>
  <rowItems count="10">
    <i>
      <x/>
    </i>
    <i>
      <x v="2"/>
    </i>
    <i>
      <x v="4"/>
    </i>
    <i>
      <x v="9"/>
    </i>
    <i>
      <x v="10"/>
    </i>
    <i>
      <x v="11"/>
    </i>
    <i>
      <x v="16"/>
    </i>
    <i>
      <x v="19"/>
    </i>
    <i>
      <x v="20"/>
    </i>
    <i>
      <x v="21"/>
    </i>
  </rowItems>
  <colItems count="1">
    <i/>
  </colItems>
  <dataFields count="1">
    <dataField name="Count of Product" fld="2" subtotal="count" baseField="0" baseItem="0"/>
  </dataFields>
  <chartFormats count="1">
    <chartFormat chart="1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C89A835-F729-49F8-ABFE-7E4FC90E17C2}" name="PivotTable2" cacheId="25"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5">
  <location ref="D3:E9" firstHeaderRow="1" firstDataRow="1" firstDataCol="1"/>
  <pivotFields count="8">
    <pivotField showAll="0"/>
    <pivotField axis="axisRow" showAll="0">
      <items count="7">
        <item x="2"/>
        <item x="5"/>
        <item x="1"/>
        <item x="3"/>
        <item x="0"/>
        <item x="4"/>
        <item t="default"/>
      </items>
    </pivotField>
    <pivotField showAll="0"/>
    <pivotField numFmtId="14" showAll="0"/>
    <pivotField showAll="0">
      <items count="6">
        <item x="1"/>
        <item x="0"/>
        <item x="3"/>
        <item x="2"/>
        <item x="4"/>
        <item t="default"/>
      </items>
    </pivotField>
    <pivotField showAll="0"/>
    <pivotField showAll="0"/>
    <pivotField dataField="1" showAll="0"/>
  </pivotFields>
  <rowFields count="1">
    <field x="1"/>
  </rowFields>
  <rowItems count="6">
    <i>
      <x/>
    </i>
    <i>
      <x v="1"/>
    </i>
    <i>
      <x v="2"/>
    </i>
    <i>
      <x v="3"/>
    </i>
    <i>
      <x v="4"/>
    </i>
    <i>
      <x v="5"/>
    </i>
  </rowItems>
  <colItems count="1">
    <i/>
  </colItems>
  <dataFields count="1">
    <dataField name="Sum of Boxes Shipped" fld="7" showDataAs="percentOfTotal" baseField="0" baseItem="0" numFmtId="10"/>
  </dataFields>
  <chartFormats count="9">
    <chartFormat chart="0" format="0"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4" format="8" series="1">
      <pivotArea type="data" outline="0" fieldPosition="0">
        <references count="1">
          <reference field="4294967294" count="1" selected="0">
            <x v="0"/>
          </reference>
        </references>
      </pivotArea>
    </chartFormat>
    <chartFormat chart="14" format="9">
      <pivotArea type="data" outline="0" fieldPosition="0">
        <references count="2">
          <reference field="4294967294" count="1" selected="0">
            <x v="0"/>
          </reference>
          <reference field="1" count="1" selected="0">
            <x v="0"/>
          </reference>
        </references>
      </pivotArea>
    </chartFormat>
    <chartFormat chart="14" format="10">
      <pivotArea type="data" outline="0" fieldPosition="0">
        <references count="2">
          <reference field="4294967294" count="1" selected="0">
            <x v="0"/>
          </reference>
          <reference field="1" count="1" selected="0">
            <x v="1"/>
          </reference>
        </references>
      </pivotArea>
    </chartFormat>
    <chartFormat chart="14" format="11">
      <pivotArea type="data" outline="0" fieldPosition="0">
        <references count="2">
          <reference field="4294967294" count="1" selected="0">
            <x v="0"/>
          </reference>
          <reference field="1" count="1" selected="0">
            <x v="2"/>
          </reference>
        </references>
      </pivotArea>
    </chartFormat>
    <chartFormat chart="14" format="12">
      <pivotArea type="data" outline="0" fieldPosition="0">
        <references count="2">
          <reference field="4294967294" count="1" selected="0">
            <x v="0"/>
          </reference>
          <reference field="1" count="1" selected="0">
            <x v="3"/>
          </reference>
        </references>
      </pivotArea>
    </chartFormat>
    <chartFormat chart="14" format="13">
      <pivotArea type="data" outline="0" fieldPosition="0">
        <references count="2">
          <reference field="4294967294" count="1" selected="0">
            <x v="0"/>
          </reference>
          <reference field="1" count="1" selected="0">
            <x v="4"/>
          </reference>
        </references>
      </pivotArea>
    </chartFormat>
    <chartFormat chart="14" format="14">
      <pivotArea type="data" outline="0" fieldPosition="0">
        <references count="2">
          <reference field="4294967294" count="1" selected="0">
            <x v="0"/>
          </reference>
          <reference field="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14C9295-0160-4628-B3A3-601655CF9B71}" name="PivotTable1" cacheId="25"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4">
  <location ref="A3:B28" firstHeaderRow="1" firstDataRow="1" firstDataCol="1"/>
  <pivotFields count="8">
    <pivotField axis="axisRow" showAll="0">
      <items count="26">
        <item x="19"/>
        <item x="8"/>
        <item x="12"/>
        <item x="6"/>
        <item x="21"/>
        <item x="24"/>
        <item x="14"/>
        <item x="17"/>
        <item x="23"/>
        <item x="2"/>
        <item x="5"/>
        <item x="15"/>
        <item x="3"/>
        <item x="0"/>
        <item x="16"/>
        <item x="10"/>
        <item x="20"/>
        <item x="22"/>
        <item x="9"/>
        <item x="11"/>
        <item x="4"/>
        <item x="7"/>
        <item x="13"/>
        <item x="1"/>
        <item x="18"/>
        <item t="default"/>
      </items>
    </pivotField>
    <pivotField showAll="0">
      <items count="7">
        <item x="2"/>
        <item x="5"/>
        <item x="1"/>
        <item x="3"/>
        <item x="0"/>
        <item x="4"/>
        <item t="default"/>
      </items>
    </pivotField>
    <pivotField showAll="0"/>
    <pivotField numFmtId="14" showAll="0"/>
    <pivotField showAll="0">
      <items count="6">
        <item x="1"/>
        <item x="0"/>
        <item x="3"/>
        <item x="2"/>
        <item x="4"/>
        <item t="default"/>
      </items>
    </pivotField>
    <pivotField showAll="0"/>
    <pivotField showAll="0"/>
    <pivotField dataField="1" showAll="0"/>
  </pivotFields>
  <rowFields count="1">
    <field x="0"/>
  </rowFields>
  <rowItems count="25">
    <i>
      <x/>
    </i>
    <i>
      <x v="1"/>
    </i>
    <i>
      <x v="2"/>
    </i>
    <i>
      <x v="3"/>
    </i>
    <i>
      <x v="4"/>
    </i>
    <i>
      <x v="5"/>
    </i>
    <i>
      <x v="6"/>
    </i>
    <i>
      <x v="7"/>
    </i>
    <i>
      <x v="8"/>
    </i>
    <i>
      <x v="9"/>
    </i>
    <i>
      <x v="10"/>
    </i>
    <i>
      <x v="11"/>
    </i>
    <i>
      <x v="12"/>
    </i>
    <i>
      <x v="13"/>
    </i>
    <i>
      <x v="14"/>
    </i>
    <i>
      <x v="15"/>
    </i>
    <i>
      <x v="16"/>
    </i>
    <i>
      <x v="17"/>
    </i>
    <i>
      <x v="18"/>
    </i>
    <i>
      <x v="19"/>
    </i>
    <i>
      <x v="20"/>
    </i>
    <i>
      <x v="21"/>
    </i>
    <i>
      <x v="22"/>
    </i>
    <i>
      <x v="23"/>
    </i>
    <i>
      <x v="24"/>
    </i>
  </rowItems>
  <colItems count="1">
    <i/>
  </colItems>
  <dataFields count="1">
    <dataField name="Sum of Boxes Shipped" fld="7" baseField="0" baseItem="0"/>
  </dataFields>
  <chartFormats count="1">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y_Name" xr10:uid="{0CDB0E2D-8E22-4591-9D79-C45EA9B55516}" sourceName="Day_Name">
  <pivotTables>
    <pivotTable tabId="2" name="PivotTable6"/>
    <pivotTable tabId="2" name="PivotTable1"/>
    <pivotTable tabId="2" name="PivotTable10"/>
    <pivotTable tabId="2" name="PivotTable2"/>
    <pivotTable tabId="2" name="PivotTable3"/>
    <pivotTable tabId="2" name="PivotTable4"/>
    <pivotTable tabId="2" name="PivotTable5"/>
  </pivotTables>
  <data>
    <tabular pivotCacheId="883404771">
      <items count="5">
        <i x="1" s="1"/>
        <i x="0" s="1"/>
        <i x="3" s="1"/>
        <i x="2"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D1D71309-680F-4D59-8ED2-535B40255641}" sourceName="Country">
  <pivotTables>
    <pivotTable tabId="2" name="PivotTable6"/>
    <pivotTable tabId="2" name="PivotTable1"/>
    <pivotTable tabId="2" name="PivotTable10"/>
    <pivotTable tabId="2" name="PivotTable2"/>
    <pivotTable tabId="2" name="PivotTable3"/>
    <pivotTable tabId="2" name="PivotTable4"/>
    <pivotTable tabId="2" name="PivotTable5"/>
  </pivotTables>
  <data>
    <tabular pivotCacheId="883404771">
      <items count="6">
        <i x="2" s="1"/>
        <i x="5" s="1"/>
        <i x="1" s="1"/>
        <i x="3" s="1"/>
        <i x="0"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y_Name" xr10:uid="{6D44D173-3AD4-455A-9572-1EBC7A5D386D}" cache="Slicer_Day_Name" caption="Day_Name" columnCount="5" rowHeight="257175"/>
  <slicer name="Country" xr10:uid="{F4634D26-894C-4630-820A-6F8652BD82AB}" cache="Slicer_Country" caption="Country" columnCount="6"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C452FC-DB1C-48A0-B36E-DB9D5BC4F709}" name="Table1" displayName="Table1" ref="A1:H1095" totalsRowShown="0">
  <autoFilter ref="A1:H1095" xr:uid="{0DC452FC-DB1C-48A0-B36E-DB9D5BC4F709}"/>
  <tableColumns count="8">
    <tableColumn id="1" xr3:uid="{FD25CC33-2F90-4DE6-A082-D3F616839236}" name="Sales Person"/>
    <tableColumn id="2" xr3:uid="{82B0446F-F87B-4DDC-9D76-FC6A742C909D}" name="Country"/>
    <tableColumn id="3" xr3:uid="{43BB1FDE-DFC0-4010-9447-006E27BB3202}" name="Product"/>
    <tableColumn id="4" xr3:uid="{F95C62F7-5E2D-4451-8992-80944B3D463B}" name="Date" dataDxfId="22"/>
    <tableColumn id="8" xr3:uid="{20BA86C0-B6A1-4F2B-B4FD-AB06F5D26697}" name="Day_Name" dataDxfId="23">
      <calculatedColumnFormula>TEXT(Table1[[#This Row],[Date]],"ddd")</calculatedColumnFormula>
    </tableColumn>
    <tableColumn id="7" xr3:uid="{B3061451-6036-4209-9593-9B4CD355A6A5}" name="Month" dataDxfId="21">
      <calculatedColumnFormula>TEXT(Table1[[#This Row],[Date]],"mmm")</calculatedColumnFormula>
    </tableColumn>
    <tableColumn id="5" xr3:uid="{3E1CAB3C-9B74-42B1-B7D4-FFEB974CD68B}" name="Amount" dataDxfId="20"/>
    <tableColumn id="6" xr3:uid="{84C3F583-E030-42C4-9E2E-0D535724D324}" name="Boxes Shippe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range">
      <a:dk1>
        <a:srgbClr val="000000"/>
      </a:dk1>
      <a:lt1>
        <a:sysClr val="window" lastClr="FFFFFF"/>
      </a:lt1>
      <a:dk2>
        <a:srgbClr val="637052"/>
      </a:dk2>
      <a:lt2>
        <a:srgbClr val="CCDDEA"/>
      </a:lt2>
      <a:accent1>
        <a:srgbClr val="E48312"/>
      </a:accent1>
      <a:accent2>
        <a:srgbClr val="BD582C"/>
      </a:accent2>
      <a:accent3>
        <a:srgbClr val="865640"/>
      </a:accent3>
      <a:accent4>
        <a:srgbClr val="9B8357"/>
      </a:accent4>
      <a:accent5>
        <a:srgbClr val="C2BC80"/>
      </a:accent5>
      <a:accent6>
        <a:srgbClr val="94A088"/>
      </a:accent6>
      <a:hlink>
        <a:srgbClr val="2998E3"/>
      </a:hlink>
      <a:folHlink>
        <a:srgbClr val="8C8C8C"/>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9F9D7A-BF69-4F8E-B47D-1A1EA4356B18}">
  <sheetPr codeName="Sheet1"/>
  <dimension ref="A1:H1095"/>
  <sheetViews>
    <sheetView workbookViewId="0">
      <pane ySplit="1" topLeftCell="A2" activePane="bottomLeft" state="frozen"/>
      <selection pane="bottomLeft" activeCell="E2" sqref="E2"/>
    </sheetView>
  </sheetViews>
  <sheetFormatPr defaultRowHeight="15" x14ac:dyDescent="0.25"/>
  <cols>
    <col min="1" max="1" width="19.85546875" bestFit="1" customWidth="1"/>
    <col min="2" max="2" width="12.42578125" bestFit="1" customWidth="1"/>
    <col min="3" max="3" width="21.85546875" bestFit="1" customWidth="1"/>
    <col min="4" max="4" width="10.42578125" style="2" bestFit="1" customWidth="1"/>
    <col min="5" max="5" width="12.85546875" bestFit="1" customWidth="1"/>
    <col min="6" max="6" width="10" customWidth="1"/>
    <col min="7" max="7" width="11.42578125" style="7" bestFit="1" customWidth="1"/>
    <col min="8" max="8" width="16.42578125" customWidth="1"/>
  </cols>
  <sheetData>
    <row r="1" spans="1:8" x14ac:dyDescent="0.25">
      <c r="A1" t="s">
        <v>0</v>
      </c>
      <c r="B1" t="s">
        <v>1</v>
      </c>
      <c r="C1" t="s">
        <v>2</v>
      </c>
      <c r="D1" s="2" t="s">
        <v>3</v>
      </c>
      <c r="E1" t="s">
        <v>59</v>
      </c>
      <c r="F1" t="s">
        <v>60</v>
      </c>
      <c r="G1" s="7" t="s">
        <v>4</v>
      </c>
      <c r="H1" t="s">
        <v>5</v>
      </c>
    </row>
    <row r="2" spans="1:8" x14ac:dyDescent="0.25">
      <c r="A2" t="s">
        <v>6</v>
      </c>
      <c r="B2" t="s">
        <v>7</v>
      </c>
      <c r="C2" t="s">
        <v>8</v>
      </c>
      <c r="D2" s="2">
        <v>44565</v>
      </c>
      <c r="E2" s="1" t="str">
        <f>TEXT(Table1[[#This Row],[Date]],"ddd")</f>
        <v>Tue</v>
      </c>
      <c r="F2" s="1" t="str">
        <f>TEXT(Table1[[#This Row],[Date]],"mmm")</f>
        <v>Jan</v>
      </c>
      <c r="G2" s="7">
        <v>5320</v>
      </c>
      <c r="H2">
        <v>180</v>
      </c>
    </row>
    <row r="3" spans="1:8" x14ac:dyDescent="0.25">
      <c r="A3" t="s">
        <v>9</v>
      </c>
      <c r="B3" t="s">
        <v>10</v>
      </c>
      <c r="C3" t="s">
        <v>11</v>
      </c>
      <c r="D3" s="2">
        <v>44774</v>
      </c>
      <c r="E3" s="1" t="str">
        <f>TEXT(Table1[[#This Row],[Date]],"ddd")</f>
        <v>Mon</v>
      </c>
      <c r="F3" s="1" t="str">
        <f>TEXT(Table1[[#This Row],[Date]],"mmm")</f>
        <v>Aug</v>
      </c>
      <c r="G3" s="7">
        <v>7896</v>
      </c>
      <c r="H3">
        <v>94</v>
      </c>
    </row>
    <row r="4" spans="1:8" x14ac:dyDescent="0.25">
      <c r="A4" t="s">
        <v>12</v>
      </c>
      <c r="B4" t="s">
        <v>10</v>
      </c>
      <c r="C4" t="s">
        <v>13</v>
      </c>
      <c r="D4" s="2">
        <v>44749</v>
      </c>
      <c r="E4" s="1" t="str">
        <f>TEXT(Table1[[#This Row],[Date]],"ddd")</f>
        <v>Thu</v>
      </c>
      <c r="F4" s="1" t="str">
        <f>TEXT(Table1[[#This Row],[Date]],"mmm")</f>
        <v>Jul</v>
      </c>
      <c r="G4" s="7">
        <v>4501</v>
      </c>
      <c r="H4">
        <v>91</v>
      </c>
    </row>
    <row r="5" spans="1:8" x14ac:dyDescent="0.25">
      <c r="A5" t="s">
        <v>14</v>
      </c>
      <c r="B5" t="s">
        <v>15</v>
      </c>
      <c r="C5" t="s">
        <v>13</v>
      </c>
      <c r="D5" s="2">
        <v>44678</v>
      </c>
      <c r="E5" s="1" t="str">
        <f>TEXT(Table1[[#This Row],[Date]],"ddd")</f>
        <v>Wed</v>
      </c>
      <c r="F5" s="1" t="str">
        <f>TEXT(Table1[[#This Row],[Date]],"mmm")</f>
        <v>Apr</v>
      </c>
      <c r="G5" s="7">
        <v>12726</v>
      </c>
      <c r="H5">
        <v>342</v>
      </c>
    </row>
    <row r="6" spans="1:8" x14ac:dyDescent="0.25">
      <c r="A6" t="s">
        <v>6</v>
      </c>
      <c r="B6" t="s">
        <v>7</v>
      </c>
      <c r="C6" t="s">
        <v>13</v>
      </c>
      <c r="D6" s="2">
        <v>44616</v>
      </c>
      <c r="E6" s="1" t="str">
        <f>TEXT(Table1[[#This Row],[Date]],"ddd")</f>
        <v>Thu</v>
      </c>
      <c r="F6" s="1" t="str">
        <f>TEXT(Table1[[#This Row],[Date]],"mmm")</f>
        <v>Feb</v>
      </c>
      <c r="G6" s="7">
        <v>13685</v>
      </c>
      <c r="H6">
        <v>184</v>
      </c>
    </row>
    <row r="7" spans="1:8" x14ac:dyDescent="0.25">
      <c r="A7" t="s">
        <v>9</v>
      </c>
      <c r="B7" t="s">
        <v>10</v>
      </c>
      <c r="C7" t="s">
        <v>16</v>
      </c>
      <c r="D7" s="2">
        <v>44718</v>
      </c>
      <c r="E7" s="1" t="str">
        <f>TEXT(Table1[[#This Row],[Date]],"ddd")</f>
        <v>Mon</v>
      </c>
      <c r="F7" s="1" t="str">
        <f>TEXT(Table1[[#This Row],[Date]],"mmm")</f>
        <v>Jun</v>
      </c>
      <c r="G7" s="7">
        <v>5376</v>
      </c>
      <c r="H7">
        <v>38</v>
      </c>
    </row>
    <row r="8" spans="1:8" x14ac:dyDescent="0.25">
      <c r="A8" t="s">
        <v>17</v>
      </c>
      <c r="B8" t="s">
        <v>7</v>
      </c>
      <c r="C8" t="s">
        <v>18</v>
      </c>
      <c r="D8" s="2">
        <v>44586</v>
      </c>
      <c r="E8" s="1" t="str">
        <f>TEXT(Table1[[#This Row],[Date]],"ddd")</f>
        <v>Tue</v>
      </c>
      <c r="F8" s="1" t="str">
        <f>TEXT(Table1[[#This Row],[Date]],"mmm")</f>
        <v>Jan</v>
      </c>
      <c r="G8" s="7">
        <v>13685</v>
      </c>
      <c r="H8">
        <v>176</v>
      </c>
    </row>
    <row r="9" spans="1:8" x14ac:dyDescent="0.25">
      <c r="A9" t="s">
        <v>19</v>
      </c>
      <c r="B9" t="s">
        <v>15</v>
      </c>
      <c r="C9" t="s">
        <v>20</v>
      </c>
      <c r="D9" s="2">
        <v>44644</v>
      </c>
      <c r="E9" s="1" t="str">
        <f>TEXT(Table1[[#This Row],[Date]],"ddd")</f>
        <v>Thu</v>
      </c>
      <c r="F9" s="1" t="str">
        <f>TEXT(Table1[[#This Row],[Date]],"mmm")</f>
        <v>Mar</v>
      </c>
      <c r="G9" s="7">
        <v>3080</v>
      </c>
      <c r="H9">
        <v>73</v>
      </c>
    </row>
    <row r="10" spans="1:8" x14ac:dyDescent="0.25">
      <c r="A10" t="s">
        <v>6</v>
      </c>
      <c r="B10" t="s">
        <v>21</v>
      </c>
      <c r="C10" t="s">
        <v>22</v>
      </c>
      <c r="D10" s="2">
        <v>44671</v>
      </c>
      <c r="E10" s="1" t="str">
        <f>TEXT(Table1[[#This Row],[Date]],"ddd")</f>
        <v>Wed</v>
      </c>
      <c r="F10" s="1" t="str">
        <f>TEXT(Table1[[#This Row],[Date]],"mmm")</f>
        <v>Apr</v>
      </c>
      <c r="G10" s="7">
        <v>3990</v>
      </c>
      <c r="H10">
        <v>59</v>
      </c>
    </row>
    <row r="11" spans="1:8" x14ac:dyDescent="0.25">
      <c r="A11" t="s">
        <v>23</v>
      </c>
      <c r="B11" t="s">
        <v>15</v>
      </c>
      <c r="C11" t="s">
        <v>18</v>
      </c>
      <c r="D11" s="2">
        <v>44746</v>
      </c>
      <c r="E11" s="1" t="str">
        <f>TEXT(Table1[[#This Row],[Date]],"ddd")</f>
        <v>Mon</v>
      </c>
      <c r="F11" s="1" t="str">
        <f>TEXT(Table1[[#This Row],[Date]],"mmm")</f>
        <v>Jul</v>
      </c>
      <c r="G11" s="7">
        <v>2835</v>
      </c>
      <c r="H11">
        <v>102</v>
      </c>
    </row>
    <row r="12" spans="1:8" x14ac:dyDescent="0.25">
      <c r="A12" t="s">
        <v>24</v>
      </c>
      <c r="B12" t="s">
        <v>7</v>
      </c>
      <c r="C12" t="s">
        <v>16</v>
      </c>
      <c r="D12" s="2">
        <v>44574</v>
      </c>
      <c r="E12" s="1" t="str">
        <f>TEXT(Table1[[#This Row],[Date]],"ddd")</f>
        <v>Thu</v>
      </c>
      <c r="F12" s="1" t="str">
        <f>TEXT(Table1[[#This Row],[Date]],"mmm")</f>
        <v>Jan</v>
      </c>
      <c r="G12" s="7">
        <v>4704</v>
      </c>
      <c r="H12">
        <v>62</v>
      </c>
    </row>
    <row r="13" spans="1:8" x14ac:dyDescent="0.25">
      <c r="A13" t="s">
        <v>25</v>
      </c>
      <c r="B13" t="s">
        <v>26</v>
      </c>
      <c r="C13" t="s">
        <v>27</v>
      </c>
      <c r="D13" s="2">
        <v>44630</v>
      </c>
      <c r="E13" s="1" t="str">
        <f>TEXT(Table1[[#This Row],[Date]],"ddd")</f>
        <v>Thu</v>
      </c>
      <c r="F13" s="1" t="str">
        <f>TEXT(Table1[[#This Row],[Date]],"mmm")</f>
        <v>Mar</v>
      </c>
      <c r="G13" s="7">
        <v>3703</v>
      </c>
      <c r="H13">
        <v>11</v>
      </c>
    </row>
    <row r="14" spans="1:8" x14ac:dyDescent="0.25">
      <c r="A14" t="s">
        <v>28</v>
      </c>
      <c r="B14" t="s">
        <v>29</v>
      </c>
      <c r="C14" t="s">
        <v>30</v>
      </c>
      <c r="D14" s="2">
        <v>44574</v>
      </c>
      <c r="E14" s="1" t="str">
        <f>TEXT(Table1[[#This Row],[Date]],"ddd")</f>
        <v>Thu</v>
      </c>
      <c r="F14" s="1" t="str">
        <f>TEXT(Table1[[#This Row],[Date]],"mmm")</f>
        <v>Jan</v>
      </c>
      <c r="G14" s="7">
        <v>1442</v>
      </c>
      <c r="H14">
        <v>286</v>
      </c>
    </row>
    <row r="15" spans="1:8" x14ac:dyDescent="0.25">
      <c r="A15" t="s">
        <v>31</v>
      </c>
      <c r="B15" t="s">
        <v>21</v>
      </c>
      <c r="C15" t="s">
        <v>32</v>
      </c>
      <c r="D15" s="2">
        <v>44770</v>
      </c>
      <c r="E15" s="1" t="str">
        <f>TEXT(Table1[[#This Row],[Date]],"ddd")</f>
        <v>Thu</v>
      </c>
      <c r="F15" s="1" t="str">
        <f>TEXT(Table1[[#This Row],[Date]],"mmm")</f>
        <v>Jul</v>
      </c>
      <c r="G15" s="7">
        <v>168</v>
      </c>
      <c r="H15">
        <v>156</v>
      </c>
    </row>
    <row r="16" spans="1:8" x14ac:dyDescent="0.25">
      <c r="A16" t="s">
        <v>33</v>
      </c>
      <c r="B16" t="s">
        <v>21</v>
      </c>
      <c r="C16" t="s">
        <v>13</v>
      </c>
      <c r="D16" s="2">
        <v>44776</v>
      </c>
      <c r="E16" s="1" t="str">
        <f>TEXT(Table1[[#This Row],[Date]],"ddd")</f>
        <v>Wed</v>
      </c>
      <c r="F16" s="1" t="str">
        <f>TEXT(Table1[[#This Row],[Date]],"mmm")</f>
        <v>Aug</v>
      </c>
      <c r="G16" s="7">
        <v>8379</v>
      </c>
      <c r="H16">
        <v>173</v>
      </c>
    </row>
    <row r="17" spans="1:8" x14ac:dyDescent="0.25">
      <c r="A17" t="s">
        <v>34</v>
      </c>
      <c r="B17" t="s">
        <v>15</v>
      </c>
      <c r="C17" t="s">
        <v>35</v>
      </c>
      <c r="D17" s="2">
        <v>44587</v>
      </c>
      <c r="E17" s="1" t="str">
        <f>TEXT(Table1[[#This Row],[Date]],"ddd")</f>
        <v>Wed</v>
      </c>
      <c r="F17" s="1" t="str">
        <f>TEXT(Table1[[#This Row],[Date]],"mmm")</f>
        <v>Jan</v>
      </c>
      <c r="G17" s="7">
        <v>6790</v>
      </c>
      <c r="H17">
        <v>356</v>
      </c>
    </row>
    <row r="18" spans="1:8" x14ac:dyDescent="0.25">
      <c r="A18" t="s">
        <v>9</v>
      </c>
      <c r="B18" t="s">
        <v>29</v>
      </c>
      <c r="C18" t="s">
        <v>35</v>
      </c>
      <c r="D18" s="2">
        <v>44606</v>
      </c>
      <c r="E18" s="1" t="str">
        <f>TEXT(Table1[[#This Row],[Date]],"ddd")</f>
        <v>Mon</v>
      </c>
      <c r="F18" s="1" t="str">
        <f>TEXT(Table1[[#This Row],[Date]],"mmm")</f>
        <v>Feb</v>
      </c>
      <c r="G18" s="7">
        <v>4067</v>
      </c>
      <c r="H18">
        <v>42</v>
      </c>
    </row>
    <row r="19" spans="1:8" x14ac:dyDescent="0.25">
      <c r="A19" t="s">
        <v>36</v>
      </c>
      <c r="B19" t="s">
        <v>26</v>
      </c>
      <c r="C19" t="s">
        <v>16</v>
      </c>
      <c r="D19" s="2">
        <v>44656</v>
      </c>
      <c r="E19" s="1" t="str">
        <f>TEXT(Table1[[#This Row],[Date]],"ddd")</f>
        <v>Tue</v>
      </c>
      <c r="F19" s="1" t="str">
        <f>TEXT(Table1[[#This Row],[Date]],"mmm")</f>
        <v>Apr</v>
      </c>
      <c r="G19" s="7">
        <v>3017</v>
      </c>
      <c r="H19">
        <v>140</v>
      </c>
    </row>
    <row r="20" spans="1:8" x14ac:dyDescent="0.25">
      <c r="A20" t="s">
        <v>34</v>
      </c>
      <c r="B20" t="s">
        <v>29</v>
      </c>
      <c r="C20" t="s">
        <v>37</v>
      </c>
      <c r="D20" s="2">
        <v>44608</v>
      </c>
      <c r="E20" s="1" t="str">
        <f>TEXT(Table1[[#This Row],[Date]],"ddd")</f>
        <v>Wed</v>
      </c>
      <c r="F20" s="1" t="str">
        <f>TEXT(Table1[[#This Row],[Date]],"mmm")</f>
        <v>Feb</v>
      </c>
      <c r="G20" s="7">
        <v>8799</v>
      </c>
      <c r="H20">
        <v>250</v>
      </c>
    </row>
    <row r="21" spans="1:8" x14ac:dyDescent="0.25">
      <c r="A21" t="s">
        <v>38</v>
      </c>
      <c r="B21" t="s">
        <v>7</v>
      </c>
      <c r="C21" t="s">
        <v>11</v>
      </c>
      <c r="D21" s="2">
        <v>44720</v>
      </c>
      <c r="E21" s="1" t="str">
        <f>TEXT(Table1[[#This Row],[Date]],"ddd")</f>
        <v>Wed</v>
      </c>
      <c r="F21" s="1" t="str">
        <f>TEXT(Table1[[#This Row],[Date]],"mmm")</f>
        <v>Jun</v>
      </c>
      <c r="G21" s="7">
        <v>1085</v>
      </c>
      <c r="H21">
        <v>172</v>
      </c>
    </row>
    <row r="22" spans="1:8" x14ac:dyDescent="0.25">
      <c r="A22" t="s">
        <v>23</v>
      </c>
      <c r="B22" t="s">
        <v>15</v>
      </c>
      <c r="C22" t="s">
        <v>30</v>
      </c>
      <c r="D22" s="2">
        <v>44739</v>
      </c>
      <c r="E22" s="1" t="str">
        <f>TEXT(Table1[[#This Row],[Date]],"ddd")</f>
        <v>Mon</v>
      </c>
      <c r="F22" s="1" t="str">
        <f>TEXT(Table1[[#This Row],[Date]],"mmm")</f>
        <v>Jun</v>
      </c>
      <c r="G22" s="7">
        <v>6888</v>
      </c>
      <c r="H22">
        <v>88</v>
      </c>
    </row>
    <row r="23" spans="1:8" x14ac:dyDescent="0.25">
      <c r="A23" t="s">
        <v>19</v>
      </c>
      <c r="B23" t="s">
        <v>26</v>
      </c>
      <c r="C23" t="s">
        <v>39</v>
      </c>
      <c r="D23" s="2">
        <v>44609</v>
      </c>
      <c r="E23" s="1" t="str">
        <f>TEXT(Table1[[#This Row],[Date]],"ddd")</f>
        <v>Thu</v>
      </c>
      <c r="F23" s="1" t="str">
        <f>TEXT(Table1[[#This Row],[Date]],"mmm")</f>
        <v>Feb</v>
      </c>
      <c r="G23" s="7">
        <v>1267</v>
      </c>
      <c r="H23">
        <v>157</v>
      </c>
    </row>
    <row r="24" spans="1:8" x14ac:dyDescent="0.25">
      <c r="A24" t="s">
        <v>33</v>
      </c>
      <c r="B24" t="s">
        <v>26</v>
      </c>
      <c r="C24" t="s">
        <v>20</v>
      </c>
      <c r="D24" s="2">
        <v>44711</v>
      </c>
      <c r="E24" s="1" t="str">
        <f>TEXT(Table1[[#This Row],[Date]],"ddd")</f>
        <v>Mon</v>
      </c>
      <c r="F24" s="1" t="str">
        <f>TEXT(Table1[[#This Row],[Date]],"mmm")</f>
        <v>May</v>
      </c>
      <c r="G24" s="7">
        <v>4753</v>
      </c>
      <c r="H24">
        <v>163</v>
      </c>
    </row>
    <row r="25" spans="1:8" x14ac:dyDescent="0.25">
      <c r="A25" t="s">
        <v>40</v>
      </c>
      <c r="B25" t="s">
        <v>7</v>
      </c>
      <c r="C25" t="s">
        <v>32</v>
      </c>
      <c r="D25" s="2">
        <v>44634</v>
      </c>
      <c r="E25" s="1" t="str">
        <f>TEXT(Table1[[#This Row],[Date]],"ddd")</f>
        <v>Mon</v>
      </c>
      <c r="F25" s="1" t="str">
        <f>TEXT(Table1[[#This Row],[Date]],"mmm")</f>
        <v>Mar</v>
      </c>
      <c r="G25" s="7">
        <v>3003</v>
      </c>
      <c r="H25">
        <v>113</v>
      </c>
    </row>
    <row r="26" spans="1:8" x14ac:dyDescent="0.25">
      <c r="A26" t="s">
        <v>41</v>
      </c>
      <c r="B26" t="s">
        <v>15</v>
      </c>
      <c r="C26" t="s">
        <v>30</v>
      </c>
      <c r="D26" s="2">
        <v>44620</v>
      </c>
      <c r="E26" s="1" t="str">
        <f>TEXT(Table1[[#This Row],[Date]],"ddd")</f>
        <v>Mon</v>
      </c>
      <c r="F26" s="1" t="str">
        <f>TEXT(Table1[[#This Row],[Date]],"mmm")</f>
        <v>Feb</v>
      </c>
      <c r="G26" s="7">
        <v>7672</v>
      </c>
      <c r="H26">
        <v>115</v>
      </c>
    </row>
    <row r="27" spans="1:8" x14ac:dyDescent="0.25">
      <c r="A27" t="s">
        <v>31</v>
      </c>
      <c r="B27" t="s">
        <v>10</v>
      </c>
      <c r="C27" t="s">
        <v>42</v>
      </c>
      <c r="D27" s="2">
        <v>44587</v>
      </c>
      <c r="E27" s="1" t="str">
        <f>TEXT(Table1[[#This Row],[Date]],"ddd")</f>
        <v>Wed</v>
      </c>
      <c r="F27" s="1" t="str">
        <f>TEXT(Table1[[#This Row],[Date]],"mmm")</f>
        <v>Jan</v>
      </c>
      <c r="G27" s="7">
        <v>168</v>
      </c>
      <c r="H27">
        <v>321</v>
      </c>
    </row>
    <row r="28" spans="1:8" x14ac:dyDescent="0.25">
      <c r="A28" t="s">
        <v>36</v>
      </c>
      <c r="B28" t="s">
        <v>29</v>
      </c>
      <c r="C28" t="s">
        <v>39</v>
      </c>
      <c r="D28" s="2">
        <v>44601</v>
      </c>
      <c r="E28" s="1" t="str">
        <f>TEXT(Table1[[#This Row],[Date]],"ddd")</f>
        <v>Wed</v>
      </c>
      <c r="F28" s="1" t="str">
        <f>TEXT(Table1[[#This Row],[Date]],"mmm")</f>
        <v>Feb</v>
      </c>
      <c r="G28" s="7">
        <v>1652</v>
      </c>
      <c r="H28">
        <v>186</v>
      </c>
    </row>
    <row r="29" spans="1:8" x14ac:dyDescent="0.25">
      <c r="A29" t="s">
        <v>40</v>
      </c>
      <c r="B29" t="s">
        <v>26</v>
      </c>
      <c r="C29" t="s">
        <v>30</v>
      </c>
      <c r="D29" s="2">
        <v>44749</v>
      </c>
      <c r="E29" s="1" t="str">
        <f>TEXT(Table1[[#This Row],[Date]],"ddd")</f>
        <v>Thu</v>
      </c>
      <c r="F29" s="1" t="str">
        <f>TEXT(Table1[[#This Row],[Date]],"mmm")</f>
        <v>Jul</v>
      </c>
      <c r="G29" s="7">
        <v>4025</v>
      </c>
      <c r="H29">
        <v>112</v>
      </c>
    </row>
    <row r="30" spans="1:8" x14ac:dyDescent="0.25">
      <c r="A30" t="s">
        <v>43</v>
      </c>
      <c r="B30" t="s">
        <v>21</v>
      </c>
      <c r="C30" t="s">
        <v>44</v>
      </c>
      <c r="D30" s="2">
        <v>44747</v>
      </c>
      <c r="E30" s="1" t="str">
        <f>TEXT(Table1[[#This Row],[Date]],"ddd")</f>
        <v>Tue</v>
      </c>
      <c r="F30" s="1" t="str">
        <f>TEXT(Table1[[#This Row],[Date]],"mmm")</f>
        <v>Jul</v>
      </c>
      <c r="G30" s="7">
        <v>9492</v>
      </c>
      <c r="H30">
        <v>151</v>
      </c>
    </row>
    <row r="31" spans="1:8" x14ac:dyDescent="0.25">
      <c r="A31" t="s">
        <v>43</v>
      </c>
      <c r="B31" t="s">
        <v>21</v>
      </c>
      <c r="C31" t="s">
        <v>45</v>
      </c>
      <c r="D31" s="2">
        <v>44727</v>
      </c>
      <c r="E31" s="1" t="str">
        <f>TEXT(Table1[[#This Row],[Date]],"ddd")</f>
        <v>Wed</v>
      </c>
      <c r="F31" s="1" t="str">
        <f>TEXT(Table1[[#This Row],[Date]],"mmm")</f>
        <v>Jun</v>
      </c>
      <c r="G31" s="7">
        <v>5061</v>
      </c>
      <c r="H31">
        <v>301</v>
      </c>
    </row>
    <row r="32" spans="1:8" x14ac:dyDescent="0.25">
      <c r="A32" t="s">
        <v>9</v>
      </c>
      <c r="B32" t="s">
        <v>21</v>
      </c>
      <c r="C32" t="s">
        <v>11</v>
      </c>
      <c r="D32" s="2">
        <v>44705</v>
      </c>
      <c r="E32" s="1" t="str">
        <f>TEXT(Table1[[#This Row],[Date]],"ddd")</f>
        <v>Tue</v>
      </c>
      <c r="F32" s="1" t="str">
        <f>TEXT(Table1[[#This Row],[Date]],"mmm")</f>
        <v>May</v>
      </c>
      <c r="G32" s="7">
        <v>1722</v>
      </c>
      <c r="H32">
        <v>121</v>
      </c>
    </row>
    <row r="33" spans="1:8" x14ac:dyDescent="0.25">
      <c r="A33" t="s">
        <v>24</v>
      </c>
      <c r="B33" t="s">
        <v>7</v>
      </c>
      <c r="C33" t="s">
        <v>18</v>
      </c>
      <c r="D33" s="2">
        <v>44741</v>
      </c>
      <c r="E33" s="1" t="str">
        <f>TEXT(Table1[[#This Row],[Date]],"ddd")</f>
        <v>Wed</v>
      </c>
      <c r="F33" s="1" t="str">
        <f>TEXT(Table1[[#This Row],[Date]],"mmm")</f>
        <v>Jun</v>
      </c>
      <c r="G33" s="7">
        <v>12446</v>
      </c>
      <c r="H33">
        <v>150</v>
      </c>
    </row>
    <row r="34" spans="1:8" x14ac:dyDescent="0.25">
      <c r="A34" t="s">
        <v>46</v>
      </c>
      <c r="B34" t="s">
        <v>15</v>
      </c>
      <c r="C34" t="s">
        <v>45</v>
      </c>
      <c r="D34" s="2">
        <v>44692</v>
      </c>
      <c r="E34" s="1" t="str">
        <f>TEXT(Table1[[#This Row],[Date]],"ddd")</f>
        <v>Wed</v>
      </c>
      <c r="F34" s="1" t="str">
        <f>TEXT(Table1[[#This Row],[Date]],"mmm")</f>
        <v>May</v>
      </c>
      <c r="G34" s="7">
        <v>4284</v>
      </c>
      <c r="H34">
        <v>94</v>
      </c>
    </row>
    <row r="35" spans="1:8" x14ac:dyDescent="0.25">
      <c r="A35" t="s">
        <v>31</v>
      </c>
      <c r="B35" t="s">
        <v>7</v>
      </c>
      <c r="C35" t="s">
        <v>47</v>
      </c>
      <c r="D35" s="2">
        <v>44742</v>
      </c>
      <c r="E35" s="1" t="str">
        <f>TEXT(Table1[[#This Row],[Date]],"ddd")</f>
        <v>Thu</v>
      </c>
      <c r="F35" s="1" t="str">
        <f>TEXT(Table1[[#This Row],[Date]],"mmm")</f>
        <v>Jun</v>
      </c>
      <c r="G35" s="7">
        <v>6839</v>
      </c>
      <c r="H35">
        <v>133</v>
      </c>
    </row>
    <row r="36" spans="1:8" x14ac:dyDescent="0.25">
      <c r="A36" t="s">
        <v>48</v>
      </c>
      <c r="B36" t="s">
        <v>29</v>
      </c>
      <c r="C36" t="s">
        <v>20</v>
      </c>
      <c r="D36" s="2">
        <v>44692</v>
      </c>
      <c r="E36" s="1" t="str">
        <f>TEXT(Table1[[#This Row],[Date]],"ddd")</f>
        <v>Wed</v>
      </c>
      <c r="F36" s="1" t="str">
        <f>TEXT(Table1[[#This Row],[Date]],"mmm")</f>
        <v>May</v>
      </c>
      <c r="G36" s="7">
        <v>2163</v>
      </c>
      <c r="H36">
        <v>70</v>
      </c>
    </row>
    <row r="37" spans="1:8" x14ac:dyDescent="0.25">
      <c r="A37" t="s">
        <v>36</v>
      </c>
      <c r="B37" t="s">
        <v>26</v>
      </c>
      <c r="C37" t="s">
        <v>45</v>
      </c>
      <c r="D37" s="2">
        <v>44764</v>
      </c>
      <c r="E37" s="1" t="str">
        <f>TEXT(Table1[[#This Row],[Date]],"ddd")</f>
        <v>Fri</v>
      </c>
      <c r="F37" s="1" t="str">
        <f>TEXT(Table1[[#This Row],[Date]],"mmm")</f>
        <v>Jul</v>
      </c>
      <c r="G37" s="7">
        <v>9583</v>
      </c>
      <c r="H37">
        <v>315</v>
      </c>
    </row>
    <row r="38" spans="1:8" x14ac:dyDescent="0.25">
      <c r="A38" t="s">
        <v>48</v>
      </c>
      <c r="B38" t="s">
        <v>7</v>
      </c>
      <c r="C38" t="s">
        <v>22</v>
      </c>
      <c r="D38" s="2">
        <v>44797</v>
      </c>
      <c r="E38" s="1" t="str">
        <f>TEXT(Table1[[#This Row],[Date]],"ddd")</f>
        <v>Wed</v>
      </c>
      <c r="F38" s="1" t="str">
        <f>TEXT(Table1[[#This Row],[Date]],"mmm")</f>
        <v>Aug</v>
      </c>
      <c r="G38" s="7">
        <v>2653</v>
      </c>
      <c r="H38">
        <v>314</v>
      </c>
    </row>
    <row r="39" spans="1:8" x14ac:dyDescent="0.25">
      <c r="A39" t="s">
        <v>49</v>
      </c>
      <c r="B39" t="s">
        <v>21</v>
      </c>
      <c r="C39" t="s">
        <v>20</v>
      </c>
      <c r="D39" s="2">
        <v>44749</v>
      </c>
      <c r="E39" s="1" t="str">
        <f>TEXT(Table1[[#This Row],[Date]],"ddd")</f>
        <v>Thu</v>
      </c>
      <c r="F39" s="1" t="str">
        <f>TEXT(Table1[[#This Row],[Date]],"mmm")</f>
        <v>Jul</v>
      </c>
      <c r="G39" s="7">
        <v>147</v>
      </c>
      <c r="H39">
        <v>72</v>
      </c>
    </row>
    <row r="40" spans="1:8" x14ac:dyDescent="0.25">
      <c r="A40" t="s">
        <v>50</v>
      </c>
      <c r="B40" t="s">
        <v>15</v>
      </c>
      <c r="C40" t="s">
        <v>11</v>
      </c>
      <c r="D40" s="2">
        <v>44700</v>
      </c>
      <c r="E40" s="1" t="str">
        <f>TEXT(Table1[[#This Row],[Date]],"ddd")</f>
        <v>Thu</v>
      </c>
      <c r="F40" s="1" t="str">
        <f>TEXT(Table1[[#This Row],[Date]],"mmm")</f>
        <v>May</v>
      </c>
      <c r="G40" s="7">
        <v>3654</v>
      </c>
      <c r="H40">
        <v>14</v>
      </c>
    </row>
    <row r="41" spans="1:8" x14ac:dyDescent="0.25">
      <c r="A41" t="s">
        <v>31</v>
      </c>
      <c r="B41" t="s">
        <v>10</v>
      </c>
      <c r="C41" t="s">
        <v>45</v>
      </c>
      <c r="D41" s="2">
        <v>44746</v>
      </c>
      <c r="E41" s="1" t="str">
        <f>TEXT(Table1[[#This Row],[Date]],"ddd")</f>
        <v>Mon</v>
      </c>
      <c r="F41" s="1" t="str">
        <f>TEXT(Table1[[#This Row],[Date]],"mmm")</f>
        <v>Jul</v>
      </c>
      <c r="G41" s="7">
        <v>2443</v>
      </c>
      <c r="H41">
        <v>581</v>
      </c>
    </row>
    <row r="42" spans="1:8" x14ac:dyDescent="0.25">
      <c r="A42" t="s">
        <v>49</v>
      </c>
      <c r="B42" t="s">
        <v>26</v>
      </c>
      <c r="C42" t="s">
        <v>20</v>
      </c>
      <c r="D42" s="2">
        <v>44714</v>
      </c>
      <c r="E42" s="1" t="str">
        <f>TEXT(Table1[[#This Row],[Date]],"ddd")</f>
        <v>Thu</v>
      </c>
      <c r="F42" s="1" t="str">
        <f>TEXT(Table1[[#This Row],[Date]],"mmm")</f>
        <v>Jun</v>
      </c>
      <c r="G42" s="7">
        <v>938</v>
      </c>
      <c r="H42">
        <v>16</v>
      </c>
    </row>
    <row r="43" spans="1:8" x14ac:dyDescent="0.25">
      <c r="A43" t="s">
        <v>31</v>
      </c>
      <c r="B43" t="s">
        <v>26</v>
      </c>
      <c r="C43" t="s">
        <v>51</v>
      </c>
      <c r="D43" s="2">
        <v>44666</v>
      </c>
      <c r="E43" s="1" t="str">
        <f>TEXT(Table1[[#This Row],[Date]],"ddd")</f>
        <v>Fri</v>
      </c>
      <c r="F43" s="1" t="str">
        <f>TEXT(Table1[[#This Row],[Date]],"mmm")</f>
        <v>Apr</v>
      </c>
      <c r="G43" s="7">
        <v>14749</v>
      </c>
      <c r="H43">
        <v>354</v>
      </c>
    </row>
    <row r="44" spans="1:8" x14ac:dyDescent="0.25">
      <c r="A44" t="s">
        <v>28</v>
      </c>
      <c r="B44" t="s">
        <v>29</v>
      </c>
      <c r="C44" t="s">
        <v>52</v>
      </c>
      <c r="D44" s="2">
        <v>44753</v>
      </c>
      <c r="E44" s="1" t="str">
        <f>TEXT(Table1[[#This Row],[Date]],"ddd")</f>
        <v>Mon</v>
      </c>
      <c r="F44" s="1" t="str">
        <f>TEXT(Table1[[#This Row],[Date]],"mmm")</f>
        <v>Jul</v>
      </c>
      <c r="G44" s="7">
        <v>4781</v>
      </c>
      <c r="H44">
        <v>241</v>
      </c>
    </row>
    <row r="45" spans="1:8" x14ac:dyDescent="0.25">
      <c r="A45" t="s">
        <v>48</v>
      </c>
      <c r="B45" t="s">
        <v>10</v>
      </c>
      <c r="C45" t="s">
        <v>39</v>
      </c>
      <c r="D45" s="2">
        <v>44615</v>
      </c>
      <c r="E45" s="1" t="str">
        <f>TEXT(Table1[[#This Row],[Date]],"ddd")</f>
        <v>Wed</v>
      </c>
      <c r="F45" s="1" t="str">
        <f>TEXT(Table1[[#This Row],[Date]],"mmm")</f>
        <v>Feb</v>
      </c>
      <c r="G45" s="7">
        <v>6307</v>
      </c>
      <c r="H45">
        <v>142</v>
      </c>
    </row>
    <row r="46" spans="1:8" x14ac:dyDescent="0.25">
      <c r="A46" t="s">
        <v>53</v>
      </c>
      <c r="B46" t="s">
        <v>29</v>
      </c>
      <c r="C46" t="s">
        <v>47</v>
      </c>
      <c r="D46" s="2">
        <v>44795</v>
      </c>
      <c r="E46" s="1" t="str">
        <f>TEXT(Table1[[#This Row],[Date]],"ddd")</f>
        <v>Mon</v>
      </c>
      <c r="F46" s="1" t="str">
        <f>TEXT(Table1[[#This Row],[Date]],"mmm")</f>
        <v>Aug</v>
      </c>
      <c r="G46" s="7">
        <v>7602</v>
      </c>
      <c r="H46">
        <v>102</v>
      </c>
    </row>
    <row r="47" spans="1:8" x14ac:dyDescent="0.25">
      <c r="A47" t="s">
        <v>41</v>
      </c>
      <c r="B47" t="s">
        <v>26</v>
      </c>
      <c r="C47" t="s">
        <v>13</v>
      </c>
      <c r="D47" s="2">
        <v>44608</v>
      </c>
      <c r="E47" s="1" t="str">
        <f>TEXT(Table1[[#This Row],[Date]],"ddd")</f>
        <v>Wed</v>
      </c>
      <c r="F47" s="1" t="str">
        <f>TEXT(Table1[[#This Row],[Date]],"mmm")</f>
        <v>Feb</v>
      </c>
      <c r="G47" s="7">
        <v>6790</v>
      </c>
      <c r="H47">
        <v>188</v>
      </c>
    </row>
    <row r="48" spans="1:8" x14ac:dyDescent="0.25">
      <c r="A48" t="s">
        <v>9</v>
      </c>
      <c r="B48" t="s">
        <v>26</v>
      </c>
      <c r="C48" t="s">
        <v>22</v>
      </c>
      <c r="D48" s="2">
        <v>44574</v>
      </c>
      <c r="E48" s="1" t="str">
        <f>TEXT(Table1[[#This Row],[Date]],"ddd")</f>
        <v>Thu</v>
      </c>
      <c r="F48" s="1" t="str">
        <f>TEXT(Table1[[#This Row],[Date]],"mmm")</f>
        <v>Jan</v>
      </c>
      <c r="G48" s="7">
        <v>9737</v>
      </c>
      <c r="H48">
        <v>160</v>
      </c>
    </row>
    <row r="49" spans="1:8" x14ac:dyDescent="0.25">
      <c r="A49" t="s">
        <v>38</v>
      </c>
      <c r="B49" t="s">
        <v>15</v>
      </c>
      <c r="C49" t="s">
        <v>37</v>
      </c>
      <c r="D49" s="2">
        <v>44606</v>
      </c>
      <c r="E49" s="1" t="str">
        <f>TEXT(Table1[[#This Row],[Date]],"ddd")</f>
        <v>Mon</v>
      </c>
      <c r="F49" s="1" t="str">
        <f>TEXT(Table1[[#This Row],[Date]],"mmm")</f>
        <v>Feb</v>
      </c>
      <c r="G49" s="7">
        <v>6979</v>
      </c>
      <c r="H49">
        <v>18</v>
      </c>
    </row>
    <row r="50" spans="1:8" x14ac:dyDescent="0.25">
      <c r="A50" t="s">
        <v>36</v>
      </c>
      <c r="B50" t="s">
        <v>10</v>
      </c>
      <c r="C50" t="s">
        <v>30</v>
      </c>
      <c r="D50" s="2">
        <v>44722</v>
      </c>
      <c r="E50" s="1" t="str">
        <f>TEXT(Table1[[#This Row],[Date]],"ddd")</f>
        <v>Fri</v>
      </c>
      <c r="F50" s="1" t="str">
        <f>TEXT(Table1[[#This Row],[Date]],"mmm")</f>
        <v>Jun</v>
      </c>
      <c r="G50" s="7">
        <v>4382</v>
      </c>
      <c r="H50">
        <v>303</v>
      </c>
    </row>
    <row r="51" spans="1:8" x14ac:dyDescent="0.25">
      <c r="A51" t="s">
        <v>38</v>
      </c>
      <c r="B51" t="s">
        <v>10</v>
      </c>
      <c r="C51" t="s">
        <v>42</v>
      </c>
      <c r="D51" s="2">
        <v>44749</v>
      </c>
      <c r="E51" s="1" t="str">
        <f>TEXT(Table1[[#This Row],[Date]],"ddd")</f>
        <v>Thu</v>
      </c>
      <c r="F51" s="1" t="str">
        <f>TEXT(Table1[[#This Row],[Date]],"mmm")</f>
        <v>Jul</v>
      </c>
      <c r="G51" s="7">
        <v>5243</v>
      </c>
      <c r="H51">
        <v>176</v>
      </c>
    </row>
    <row r="52" spans="1:8" x14ac:dyDescent="0.25">
      <c r="A52" t="s">
        <v>38</v>
      </c>
      <c r="B52" t="s">
        <v>29</v>
      </c>
      <c r="C52" t="s">
        <v>47</v>
      </c>
      <c r="D52" s="2">
        <v>44644</v>
      </c>
      <c r="E52" s="1" t="str">
        <f>TEXT(Table1[[#This Row],[Date]],"ddd")</f>
        <v>Thu</v>
      </c>
      <c r="F52" s="1" t="str">
        <f>TEXT(Table1[[#This Row],[Date]],"mmm")</f>
        <v>Mar</v>
      </c>
      <c r="G52" s="7">
        <v>4865</v>
      </c>
      <c r="H52">
        <v>70</v>
      </c>
    </row>
    <row r="53" spans="1:8" x14ac:dyDescent="0.25">
      <c r="A53" t="s">
        <v>23</v>
      </c>
      <c r="B53" t="s">
        <v>15</v>
      </c>
      <c r="C53" t="s">
        <v>42</v>
      </c>
      <c r="D53" s="2">
        <v>44718</v>
      </c>
      <c r="E53" s="1" t="str">
        <f>TEXT(Table1[[#This Row],[Date]],"ddd")</f>
        <v>Mon</v>
      </c>
      <c r="F53" s="1" t="str">
        <f>TEXT(Table1[[#This Row],[Date]],"mmm")</f>
        <v>Jun</v>
      </c>
      <c r="G53" s="7">
        <v>8575</v>
      </c>
      <c r="H53">
        <v>23</v>
      </c>
    </row>
    <row r="54" spans="1:8" x14ac:dyDescent="0.25">
      <c r="A54" t="s">
        <v>54</v>
      </c>
      <c r="B54" t="s">
        <v>15</v>
      </c>
      <c r="C54" t="s">
        <v>32</v>
      </c>
      <c r="D54" s="2">
        <v>44761</v>
      </c>
      <c r="E54" s="1" t="str">
        <f>TEXT(Table1[[#This Row],[Date]],"ddd")</f>
        <v>Tue</v>
      </c>
      <c r="F54" s="1" t="str">
        <f>TEXT(Table1[[#This Row],[Date]],"mmm")</f>
        <v>Jul</v>
      </c>
      <c r="G54" s="7">
        <v>91</v>
      </c>
      <c r="H54">
        <v>135</v>
      </c>
    </row>
    <row r="55" spans="1:8" x14ac:dyDescent="0.25">
      <c r="A55" t="s">
        <v>34</v>
      </c>
      <c r="B55" t="s">
        <v>26</v>
      </c>
      <c r="C55" t="s">
        <v>51</v>
      </c>
      <c r="D55" s="2">
        <v>44670</v>
      </c>
      <c r="E55" s="1" t="str">
        <f>TEXT(Table1[[#This Row],[Date]],"ddd")</f>
        <v>Tue</v>
      </c>
      <c r="F55" s="1" t="str">
        <f>TEXT(Table1[[#This Row],[Date]],"mmm")</f>
        <v>Apr</v>
      </c>
      <c r="G55" s="7">
        <v>14798</v>
      </c>
      <c r="H55">
        <v>83</v>
      </c>
    </row>
    <row r="56" spans="1:8" x14ac:dyDescent="0.25">
      <c r="A56" t="s">
        <v>33</v>
      </c>
      <c r="B56" t="s">
        <v>10</v>
      </c>
      <c r="C56" t="s">
        <v>11</v>
      </c>
      <c r="D56" s="2">
        <v>44761</v>
      </c>
      <c r="E56" s="1" t="str">
        <f>TEXT(Table1[[#This Row],[Date]],"ddd")</f>
        <v>Tue</v>
      </c>
      <c r="F56" s="1" t="str">
        <f>TEXT(Table1[[#This Row],[Date]],"mmm")</f>
        <v>Jul</v>
      </c>
      <c r="G56" s="7">
        <v>2205</v>
      </c>
      <c r="H56">
        <v>179</v>
      </c>
    </row>
    <row r="57" spans="1:8" x14ac:dyDescent="0.25">
      <c r="A57" t="s">
        <v>6</v>
      </c>
      <c r="B57" t="s">
        <v>29</v>
      </c>
      <c r="C57" t="s">
        <v>32</v>
      </c>
      <c r="D57" s="2">
        <v>44757</v>
      </c>
      <c r="E57" s="1" t="str">
        <f>TEXT(Table1[[#This Row],[Date]],"ddd")</f>
        <v>Fri</v>
      </c>
      <c r="F57" s="1" t="str">
        <f>TEXT(Table1[[#This Row],[Date]],"mmm")</f>
        <v>Jul</v>
      </c>
      <c r="G57" s="7">
        <v>441</v>
      </c>
      <c r="H57">
        <v>24</v>
      </c>
    </row>
    <row r="58" spans="1:8" x14ac:dyDescent="0.25">
      <c r="A58" t="s">
        <v>55</v>
      </c>
      <c r="B58" t="s">
        <v>21</v>
      </c>
      <c r="C58" t="s">
        <v>39</v>
      </c>
      <c r="D58" s="2">
        <v>44606</v>
      </c>
      <c r="E58" s="1" t="str">
        <f>TEXT(Table1[[#This Row],[Date]],"ddd")</f>
        <v>Mon</v>
      </c>
      <c r="F58" s="1" t="str">
        <f>TEXT(Table1[[#This Row],[Date]],"mmm")</f>
        <v>Feb</v>
      </c>
      <c r="G58" s="7">
        <v>3556</v>
      </c>
      <c r="H58">
        <v>18</v>
      </c>
    </row>
    <row r="59" spans="1:8" x14ac:dyDescent="0.25">
      <c r="A59" t="s">
        <v>23</v>
      </c>
      <c r="B59" t="s">
        <v>29</v>
      </c>
      <c r="C59" t="s">
        <v>18</v>
      </c>
      <c r="D59" s="2">
        <v>44699</v>
      </c>
      <c r="E59" s="1" t="str">
        <f>TEXT(Table1[[#This Row],[Date]],"ddd")</f>
        <v>Wed</v>
      </c>
      <c r="F59" s="1" t="str">
        <f>TEXT(Table1[[#This Row],[Date]],"mmm")</f>
        <v>May</v>
      </c>
      <c r="G59" s="7">
        <v>16793</v>
      </c>
      <c r="H59">
        <v>416</v>
      </c>
    </row>
    <row r="60" spans="1:8" x14ac:dyDescent="0.25">
      <c r="A60" t="s">
        <v>25</v>
      </c>
      <c r="B60" t="s">
        <v>15</v>
      </c>
      <c r="C60" t="s">
        <v>42</v>
      </c>
      <c r="D60" s="2">
        <v>44742</v>
      </c>
      <c r="E60" s="1" t="str">
        <f>TEXT(Table1[[#This Row],[Date]],"ddd")</f>
        <v>Thu</v>
      </c>
      <c r="F60" s="1" t="str">
        <f>TEXT(Table1[[#This Row],[Date]],"mmm")</f>
        <v>Jun</v>
      </c>
      <c r="G60" s="7">
        <v>15421</v>
      </c>
      <c r="H60">
        <v>55</v>
      </c>
    </row>
    <row r="61" spans="1:8" x14ac:dyDescent="0.25">
      <c r="A61" t="s">
        <v>48</v>
      </c>
      <c r="B61" t="s">
        <v>15</v>
      </c>
      <c r="C61" t="s">
        <v>22</v>
      </c>
      <c r="D61" s="2">
        <v>44714</v>
      </c>
      <c r="E61" s="1" t="str">
        <f>TEXT(Table1[[#This Row],[Date]],"ddd")</f>
        <v>Thu</v>
      </c>
      <c r="F61" s="1" t="str">
        <f>TEXT(Table1[[#This Row],[Date]],"mmm")</f>
        <v>Jun</v>
      </c>
      <c r="G61" s="7">
        <v>4438</v>
      </c>
      <c r="H61">
        <v>227</v>
      </c>
    </row>
    <row r="62" spans="1:8" x14ac:dyDescent="0.25">
      <c r="A62" t="s">
        <v>48</v>
      </c>
      <c r="B62" t="s">
        <v>15</v>
      </c>
      <c r="C62" t="s">
        <v>32</v>
      </c>
      <c r="D62" s="2">
        <v>44740</v>
      </c>
      <c r="E62" s="1" t="str">
        <f>TEXT(Table1[[#This Row],[Date]],"ddd")</f>
        <v>Tue</v>
      </c>
      <c r="F62" s="1" t="str">
        <f>TEXT(Table1[[#This Row],[Date]],"mmm")</f>
        <v>Jun</v>
      </c>
      <c r="G62" s="7">
        <v>1603</v>
      </c>
      <c r="H62">
        <v>48</v>
      </c>
    </row>
    <row r="63" spans="1:8" x14ac:dyDescent="0.25">
      <c r="A63" t="s">
        <v>33</v>
      </c>
      <c r="B63" t="s">
        <v>15</v>
      </c>
      <c r="C63" t="s">
        <v>35</v>
      </c>
      <c r="D63" s="2">
        <v>44697</v>
      </c>
      <c r="E63" s="1" t="str">
        <f>TEXT(Table1[[#This Row],[Date]],"ddd")</f>
        <v>Mon</v>
      </c>
      <c r="F63" s="1" t="str">
        <f>TEXT(Table1[[#This Row],[Date]],"mmm")</f>
        <v>May</v>
      </c>
      <c r="G63" s="7">
        <v>273</v>
      </c>
      <c r="H63">
        <v>174</v>
      </c>
    </row>
    <row r="64" spans="1:8" x14ac:dyDescent="0.25">
      <c r="A64" t="s">
        <v>49</v>
      </c>
      <c r="B64" t="s">
        <v>29</v>
      </c>
      <c r="C64" t="s">
        <v>56</v>
      </c>
      <c r="D64" s="2">
        <v>44707</v>
      </c>
      <c r="E64" s="1" t="str">
        <f>TEXT(Table1[[#This Row],[Date]],"ddd")</f>
        <v>Thu</v>
      </c>
      <c r="F64" s="1" t="str">
        <f>TEXT(Table1[[#This Row],[Date]],"mmm")</f>
        <v>May</v>
      </c>
      <c r="G64" s="7">
        <v>3073</v>
      </c>
      <c r="H64">
        <v>302</v>
      </c>
    </row>
    <row r="65" spans="1:8" x14ac:dyDescent="0.25">
      <c r="A65" t="s">
        <v>31</v>
      </c>
      <c r="B65" t="s">
        <v>10</v>
      </c>
      <c r="C65" t="s">
        <v>47</v>
      </c>
      <c r="D65" s="2">
        <v>44748</v>
      </c>
      <c r="E65" s="1" t="str">
        <f>TEXT(Table1[[#This Row],[Date]],"ddd")</f>
        <v>Wed</v>
      </c>
      <c r="F65" s="1" t="str">
        <f>TEXT(Table1[[#This Row],[Date]],"mmm")</f>
        <v>Jul</v>
      </c>
      <c r="G65" s="7">
        <v>6090</v>
      </c>
      <c r="H65">
        <v>149</v>
      </c>
    </row>
    <row r="66" spans="1:8" x14ac:dyDescent="0.25">
      <c r="A66" t="s">
        <v>17</v>
      </c>
      <c r="B66" t="s">
        <v>10</v>
      </c>
      <c r="C66" t="s">
        <v>18</v>
      </c>
      <c r="D66" s="2">
        <v>44708</v>
      </c>
      <c r="E66" s="1" t="str">
        <f>TEXT(Table1[[#This Row],[Date]],"ddd")</f>
        <v>Fri</v>
      </c>
      <c r="F66" s="1" t="str">
        <f>TEXT(Table1[[#This Row],[Date]],"mmm")</f>
        <v>May</v>
      </c>
      <c r="G66" s="7">
        <v>10255</v>
      </c>
      <c r="H66">
        <v>11</v>
      </c>
    </row>
    <row r="67" spans="1:8" x14ac:dyDescent="0.25">
      <c r="A67" t="s">
        <v>46</v>
      </c>
      <c r="B67" t="s">
        <v>15</v>
      </c>
      <c r="C67" t="s">
        <v>57</v>
      </c>
      <c r="D67" s="2">
        <v>44665</v>
      </c>
      <c r="E67" s="1" t="str">
        <f>TEXT(Table1[[#This Row],[Date]],"ddd")</f>
        <v>Thu</v>
      </c>
      <c r="F67" s="1" t="str">
        <f>TEXT(Table1[[#This Row],[Date]],"mmm")</f>
        <v>Apr</v>
      </c>
      <c r="G67" s="7">
        <v>2030</v>
      </c>
      <c r="H67">
        <v>11</v>
      </c>
    </row>
    <row r="68" spans="1:8" x14ac:dyDescent="0.25">
      <c r="A68" t="s">
        <v>9</v>
      </c>
      <c r="B68" t="s">
        <v>15</v>
      </c>
      <c r="C68" t="s">
        <v>35</v>
      </c>
      <c r="D68" s="2">
        <v>44783</v>
      </c>
      <c r="E68" s="1" t="str">
        <f>TEXT(Table1[[#This Row],[Date]],"ddd")</f>
        <v>Wed</v>
      </c>
      <c r="F68" s="1" t="str">
        <f>TEXT(Table1[[#This Row],[Date]],"mmm")</f>
        <v>Aug</v>
      </c>
      <c r="G68" s="7">
        <v>19453</v>
      </c>
      <c r="H68">
        <v>14</v>
      </c>
    </row>
    <row r="69" spans="1:8" x14ac:dyDescent="0.25">
      <c r="A69" t="s">
        <v>50</v>
      </c>
      <c r="B69" t="s">
        <v>10</v>
      </c>
      <c r="C69" t="s">
        <v>22</v>
      </c>
      <c r="D69" s="2">
        <v>44746</v>
      </c>
      <c r="E69" s="1" t="str">
        <f>TEXT(Table1[[#This Row],[Date]],"ddd")</f>
        <v>Mon</v>
      </c>
      <c r="F69" s="1" t="str">
        <f>TEXT(Table1[[#This Row],[Date]],"mmm")</f>
        <v>Jul</v>
      </c>
      <c r="G69" s="7">
        <v>9275</v>
      </c>
      <c r="H69">
        <v>411</v>
      </c>
    </row>
    <row r="70" spans="1:8" x14ac:dyDescent="0.25">
      <c r="A70" t="s">
        <v>17</v>
      </c>
      <c r="B70" t="s">
        <v>10</v>
      </c>
      <c r="C70" t="s">
        <v>35</v>
      </c>
      <c r="D70" s="2">
        <v>44750</v>
      </c>
      <c r="E70" s="1" t="str">
        <f>TEXT(Table1[[#This Row],[Date]],"ddd")</f>
        <v>Fri</v>
      </c>
      <c r="F70" s="1" t="str">
        <f>TEXT(Table1[[#This Row],[Date]],"mmm")</f>
        <v>Jul</v>
      </c>
      <c r="G70" s="7">
        <v>6181</v>
      </c>
      <c r="H70">
        <v>56</v>
      </c>
    </row>
    <row r="71" spans="1:8" x14ac:dyDescent="0.25">
      <c r="A71" t="s">
        <v>14</v>
      </c>
      <c r="B71" t="s">
        <v>26</v>
      </c>
      <c r="C71" t="s">
        <v>13</v>
      </c>
      <c r="D71" s="2">
        <v>44764</v>
      </c>
      <c r="E71" s="1" t="str">
        <f>TEXT(Table1[[#This Row],[Date]],"ddd")</f>
        <v>Fri</v>
      </c>
      <c r="F71" s="1" t="str">
        <f>TEXT(Table1[[#This Row],[Date]],"mmm")</f>
        <v>Jul</v>
      </c>
      <c r="G71" s="7">
        <v>9037</v>
      </c>
      <c r="H71">
        <v>102</v>
      </c>
    </row>
    <row r="72" spans="1:8" x14ac:dyDescent="0.25">
      <c r="A72" t="s">
        <v>12</v>
      </c>
      <c r="B72" t="s">
        <v>26</v>
      </c>
      <c r="C72" t="s">
        <v>52</v>
      </c>
      <c r="D72" s="2">
        <v>44622</v>
      </c>
      <c r="E72" s="1" t="str">
        <f>TEXT(Table1[[#This Row],[Date]],"ddd")</f>
        <v>Wed</v>
      </c>
      <c r="F72" s="1" t="str">
        <f>TEXT(Table1[[#This Row],[Date]],"mmm")</f>
        <v>Mar</v>
      </c>
      <c r="G72" s="7">
        <v>12313</v>
      </c>
      <c r="H72">
        <v>103</v>
      </c>
    </row>
    <row r="73" spans="1:8" x14ac:dyDescent="0.25">
      <c r="A73" t="s">
        <v>12</v>
      </c>
      <c r="B73" t="s">
        <v>7</v>
      </c>
      <c r="C73" t="s">
        <v>47</v>
      </c>
      <c r="D73" s="2">
        <v>44571</v>
      </c>
      <c r="E73" s="1" t="str">
        <f>TEXT(Table1[[#This Row],[Date]],"ddd")</f>
        <v>Mon</v>
      </c>
      <c r="F73" s="1" t="str">
        <f>TEXT(Table1[[#This Row],[Date]],"mmm")</f>
        <v>Jan</v>
      </c>
      <c r="G73" s="7">
        <v>5642</v>
      </c>
      <c r="H73">
        <v>9</v>
      </c>
    </row>
    <row r="74" spans="1:8" x14ac:dyDescent="0.25">
      <c r="A74" t="s">
        <v>6</v>
      </c>
      <c r="B74" t="s">
        <v>21</v>
      </c>
      <c r="C74" t="s">
        <v>44</v>
      </c>
      <c r="D74" s="2">
        <v>44631</v>
      </c>
      <c r="E74" s="1" t="str">
        <f>TEXT(Table1[[#This Row],[Date]],"ddd")</f>
        <v>Fri</v>
      </c>
      <c r="F74" s="1" t="str">
        <f>TEXT(Table1[[#This Row],[Date]],"mmm")</f>
        <v>Mar</v>
      </c>
      <c r="G74" s="7">
        <v>2800</v>
      </c>
      <c r="H74">
        <v>241</v>
      </c>
    </row>
    <row r="75" spans="1:8" x14ac:dyDescent="0.25">
      <c r="A75" t="s">
        <v>48</v>
      </c>
      <c r="B75" t="s">
        <v>21</v>
      </c>
      <c r="C75" t="s">
        <v>13</v>
      </c>
      <c r="D75" s="2">
        <v>44732</v>
      </c>
      <c r="E75" s="1" t="str">
        <f>TEXT(Table1[[#This Row],[Date]],"ddd")</f>
        <v>Mon</v>
      </c>
      <c r="F75" s="1" t="str">
        <f>TEXT(Table1[[#This Row],[Date]],"mmm")</f>
        <v>Jun</v>
      </c>
      <c r="G75" s="7">
        <v>959</v>
      </c>
      <c r="H75">
        <v>265</v>
      </c>
    </row>
    <row r="76" spans="1:8" x14ac:dyDescent="0.25">
      <c r="A76" t="s">
        <v>9</v>
      </c>
      <c r="B76" t="s">
        <v>7</v>
      </c>
      <c r="C76" t="s">
        <v>35</v>
      </c>
      <c r="D76" s="2">
        <v>44799</v>
      </c>
      <c r="E76" s="1" t="str">
        <f>TEXT(Table1[[#This Row],[Date]],"ddd")</f>
        <v>Fri</v>
      </c>
      <c r="F76" s="1" t="str">
        <f>TEXT(Table1[[#This Row],[Date]],"mmm")</f>
        <v>Aug</v>
      </c>
      <c r="G76" s="7">
        <v>2002</v>
      </c>
      <c r="H76">
        <v>214</v>
      </c>
    </row>
    <row r="77" spans="1:8" x14ac:dyDescent="0.25">
      <c r="A77" t="s">
        <v>36</v>
      </c>
      <c r="B77" t="s">
        <v>29</v>
      </c>
      <c r="C77" t="s">
        <v>37</v>
      </c>
      <c r="D77" s="2">
        <v>44755</v>
      </c>
      <c r="E77" s="1" t="str">
        <f>TEXT(Table1[[#This Row],[Date]],"ddd")</f>
        <v>Wed</v>
      </c>
      <c r="F77" s="1" t="str">
        <f>TEXT(Table1[[#This Row],[Date]],"mmm")</f>
        <v>Jul</v>
      </c>
      <c r="G77" s="7">
        <v>609</v>
      </c>
      <c r="H77">
        <v>32</v>
      </c>
    </row>
    <row r="78" spans="1:8" x14ac:dyDescent="0.25">
      <c r="A78" t="s">
        <v>50</v>
      </c>
      <c r="B78" t="s">
        <v>26</v>
      </c>
      <c r="C78" t="s">
        <v>39</v>
      </c>
      <c r="D78" s="2">
        <v>44603</v>
      </c>
      <c r="E78" s="1" t="str">
        <f>TEXT(Table1[[#This Row],[Date]],"ddd")</f>
        <v>Fri</v>
      </c>
      <c r="F78" s="1" t="str">
        <f>TEXT(Table1[[#This Row],[Date]],"mmm")</f>
        <v>Feb</v>
      </c>
      <c r="G78" s="7">
        <v>1274</v>
      </c>
      <c r="H78">
        <v>244</v>
      </c>
    </row>
    <row r="79" spans="1:8" x14ac:dyDescent="0.25">
      <c r="A79" t="s">
        <v>33</v>
      </c>
      <c r="B79" t="s">
        <v>26</v>
      </c>
      <c r="C79" t="s">
        <v>27</v>
      </c>
      <c r="D79" s="2">
        <v>44588</v>
      </c>
      <c r="E79" s="1" t="str">
        <f>TEXT(Table1[[#This Row],[Date]],"ddd")</f>
        <v>Thu</v>
      </c>
      <c r="F79" s="1" t="str">
        <f>TEXT(Table1[[#This Row],[Date]],"mmm")</f>
        <v>Jan</v>
      </c>
      <c r="G79" s="7">
        <v>7595</v>
      </c>
      <c r="H79">
        <v>181</v>
      </c>
    </row>
    <row r="80" spans="1:8" x14ac:dyDescent="0.25">
      <c r="A80" t="s">
        <v>9</v>
      </c>
      <c r="B80" t="s">
        <v>7</v>
      </c>
      <c r="C80" t="s">
        <v>18</v>
      </c>
      <c r="D80" s="2">
        <v>44592</v>
      </c>
      <c r="E80" s="1" t="str">
        <f>TEXT(Table1[[#This Row],[Date]],"ddd")</f>
        <v>Mon</v>
      </c>
      <c r="F80" s="1" t="str">
        <f>TEXT(Table1[[#This Row],[Date]],"mmm")</f>
        <v>Jan</v>
      </c>
      <c r="G80" s="7">
        <v>4725</v>
      </c>
      <c r="H80">
        <v>137</v>
      </c>
    </row>
    <row r="81" spans="1:8" x14ac:dyDescent="0.25">
      <c r="A81" t="s">
        <v>50</v>
      </c>
      <c r="B81" t="s">
        <v>26</v>
      </c>
      <c r="C81" t="s">
        <v>44</v>
      </c>
      <c r="D81" s="2">
        <v>44791</v>
      </c>
      <c r="E81" s="1" t="str">
        <f>TEXT(Table1[[#This Row],[Date]],"ddd")</f>
        <v>Thu</v>
      </c>
      <c r="F81" s="1" t="str">
        <f>TEXT(Table1[[#This Row],[Date]],"mmm")</f>
        <v>Aug</v>
      </c>
      <c r="G81" s="7">
        <v>9681</v>
      </c>
      <c r="H81">
        <v>24</v>
      </c>
    </row>
    <row r="82" spans="1:8" x14ac:dyDescent="0.25">
      <c r="A82" t="s">
        <v>48</v>
      </c>
      <c r="B82" t="s">
        <v>26</v>
      </c>
      <c r="C82" t="s">
        <v>51</v>
      </c>
      <c r="D82" s="2">
        <v>44742</v>
      </c>
      <c r="E82" s="1" t="str">
        <f>TEXT(Table1[[#This Row],[Date]],"ddd")</f>
        <v>Thu</v>
      </c>
      <c r="F82" s="1" t="str">
        <f>TEXT(Table1[[#This Row],[Date]],"mmm")</f>
        <v>Jun</v>
      </c>
      <c r="G82" s="7">
        <v>14504</v>
      </c>
      <c r="H82">
        <v>21</v>
      </c>
    </row>
    <row r="83" spans="1:8" x14ac:dyDescent="0.25">
      <c r="A83" t="s">
        <v>54</v>
      </c>
      <c r="B83" t="s">
        <v>15</v>
      </c>
      <c r="C83" t="s">
        <v>42</v>
      </c>
      <c r="D83" s="2">
        <v>44796</v>
      </c>
      <c r="E83" s="1" t="str">
        <f>TEXT(Table1[[#This Row],[Date]],"ddd")</f>
        <v>Tue</v>
      </c>
      <c r="F83" s="1" t="str">
        <f>TEXT(Table1[[#This Row],[Date]],"mmm")</f>
        <v>Aug</v>
      </c>
      <c r="G83" s="7">
        <v>280</v>
      </c>
      <c r="H83">
        <v>311</v>
      </c>
    </row>
    <row r="84" spans="1:8" x14ac:dyDescent="0.25">
      <c r="A84" t="s">
        <v>23</v>
      </c>
      <c r="B84" t="s">
        <v>21</v>
      </c>
      <c r="C84" t="s">
        <v>8</v>
      </c>
      <c r="D84" s="2">
        <v>44774</v>
      </c>
      <c r="E84" s="1" t="str">
        <f>TEXT(Table1[[#This Row],[Date]],"ddd")</f>
        <v>Mon</v>
      </c>
      <c r="F84" s="1" t="str">
        <f>TEXT(Table1[[#This Row],[Date]],"mmm")</f>
        <v>Aug</v>
      </c>
      <c r="G84" s="7">
        <v>63</v>
      </c>
      <c r="H84">
        <v>181</v>
      </c>
    </row>
    <row r="85" spans="1:8" x14ac:dyDescent="0.25">
      <c r="A85" t="s">
        <v>36</v>
      </c>
      <c r="B85" t="s">
        <v>21</v>
      </c>
      <c r="C85" t="s">
        <v>20</v>
      </c>
      <c r="D85" s="2">
        <v>44706</v>
      </c>
      <c r="E85" s="1" t="str">
        <f>TEXT(Table1[[#This Row],[Date]],"ddd")</f>
        <v>Wed</v>
      </c>
      <c r="F85" s="1" t="str">
        <f>TEXT(Table1[[#This Row],[Date]],"mmm")</f>
        <v>May</v>
      </c>
      <c r="G85" s="7">
        <v>8001</v>
      </c>
      <c r="H85">
        <v>10</v>
      </c>
    </row>
    <row r="86" spans="1:8" x14ac:dyDescent="0.25">
      <c r="A86" t="s">
        <v>36</v>
      </c>
      <c r="B86" t="s">
        <v>29</v>
      </c>
      <c r="C86" t="s">
        <v>35</v>
      </c>
      <c r="D86" s="2">
        <v>44571</v>
      </c>
      <c r="E86" s="1" t="str">
        <f>TEXT(Table1[[#This Row],[Date]],"ddd")</f>
        <v>Mon</v>
      </c>
      <c r="F86" s="1" t="str">
        <f>TEXT(Table1[[#This Row],[Date]],"mmm")</f>
        <v>Jan</v>
      </c>
      <c r="G86" s="7">
        <v>4032</v>
      </c>
      <c r="H86">
        <v>82</v>
      </c>
    </row>
    <row r="87" spans="1:8" x14ac:dyDescent="0.25">
      <c r="A87" t="s">
        <v>43</v>
      </c>
      <c r="B87" t="s">
        <v>15</v>
      </c>
      <c r="C87" t="s">
        <v>58</v>
      </c>
      <c r="D87" s="2">
        <v>44599</v>
      </c>
      <c r="E87" s="1" t="str">
        <f>TEXT(Table1[[#This Row],[Date]],"ddd")</f>
        <v>Mon</v>
      </c>
      <c r="F87" s="1" t="str">
        <f>TEXT(Table1[[#This Row],[Date]],"mmm")</f>
        <v>Feb</v>
      </c>
      <c r="G87" s="7">
        <v>5859</v>
      </c>
      <c r="H87">
        <v>108</v>
      </c>
    </row>
    <row r="88" spans="1:8" x14ac:dyDescent="0.25">
      <c r="A88" t="s">
        <v>31</v>
      </c>
      <c r="B88" t="s">
        <v>26</v>
      </c>
      <c r="C88" t="s">
        <v>27</v>
      </c>
      <c r="D88" s="2">
        <v>44693</v>
      </c>
      <c r="E88" s="1" t="str">
        <f>TEXT(Table1[[#This Row],[Date]],"ddd")</f>
        <v>Thu</v>
      </c>
      <c r="F88" s="1" t="str">
        <f>TEXT(Table1[[#This Row],[Date]],"mmm")</f>
        <v>May</v>
      </c>
      <c r="G88" s="7">
        <v>11095</v>
      </c>
      <c r="H88">
        <v>401</v>
      </c>
    </row>
    <row r="89" spans="1:8" x14ac:dyDescent="0.25">
      <c r="A89" t="s">
        <v>53</v>
      </c>
      <c r="B89" t="s">
        <v>15</v>
      </c>
      <c r="C89" t="s">
        <v>39</v>
      </c>
      <c r="D89" s="2">
        <v>44627</v>
      </c>
      <c r="E89" s="1" t="str">
        <f>TEXT(Table1[[#This Row],[Date]],"ddd")</f>
        <v>Mon</v>
      </c>
      <c r="F89" s="1" t="str">
        <f>TEXT(Table1[[#This Row],[Date]],"mmm")</f>
        <v>Mar</v>
      </c>
      <c r="G89" s="7">
        <v>7182</v>
      </c>
      <c r="H89">
        <v>408</v>
      </c>
    </row>
    <row r="90" spans="1:8" x14ac:dyDescent="0.25">
      <c r="A90" t="s">
        <v>43</v>
      </c>
      <c r="B90" t="s">
        <v>15</v>
      </c>
      <c r="C90" t="s">
        <v>11</v>
      </c>
      <c r="D90" s="2">
        <v>44656</v>
      </c>
      <c r="E90" s="1" t="str">
        <f>TEXT(Table1[[#This Row],[Date]],"ddd")</f>
        <v>Tue</v>
      </c>
      <c r="F90" s="1" t="str">
        <f>TEXT(Table1[[#This Row],[Date]],"mmm")</f>
        <v>Apr</v>
      </c>
      <c r="G90" s="7">
        <v>6881</v>
      </c>
      <c r="H90">
        <v>420</v>
      </c>
    </row>
    <row r="91" spans="1:8" x14ac:dyDescent="0.25">
      <c r="A91" t="s">
        <v>48</v>
      </c>
      <c r="B91" t="s">
        <v>29</v>
      </c>
      <c r="C91" t="s">
        <v>57</v>
      </c>
      <c r="D91" s="2">
        <v>44564</v>
      </c>
      <c r="E91" s="1" t="str">
        <f>TEXT(Table1[[#This Row],[Date]],"ddd")</f>
        <v>Mon</v>
      </c>
      <c r="F91" s="1" t="str">
        <f>TEXT(Table1[[#This Row],[Date]],"mmm")</f>
        <v>Jan</v>
      </c>
      <c r="G91" s="7">
        <v>7154</v>
      </c>
      <c r="H91">
        <v>348</v>
      </c>
    </row>
    <row r="92" spans="1:8" x14ac:dyDescent="0.25">
      <c r="A92" t="s">
        <v>43</v>
      </c>
      <c r="B92" t="s">
        <v>7</v>
      </c>
      <c r="C92" t="s">
        <v>30</v>
      </c>
      <c r="D92" s="2">
        <v>44644</v>
      </c>
      <c r="E92" s="1" t="str">
        <f>TEXT(Table1[[#This Row],[Date]],"ddd")</f>
        <v>Thu</v>
      </c>
      <c r="F92" s="1" t="str">
        <f>TEXT(Table1[[#This Row],[Date]],"mmm")</f>
        <v>Mar</v>
      </c>
      <c r="G92" s="7">
        <v>6188</v>
      </c>
      <c r="H92">
        <v>270</v>
      </c>
    </row>
    <row r="93" spans="1:8" x14ac:dyDescent="0.25">
      <c r="A93" t="s">
        <v>53</v>
      </c>
      <c r="B93" t="s">
        <v>10</v>
      </c>
      <c r="C93" t="s">
        <v>51</v>
      </c>
      <c r="D93" s="2">
        <v>44749</v>
      </c>
      <c r="E93" s="1" t="str">
        <f>TEXT(Table1[[#This Row],[Date]],"ddd")</f>
        <v>Thu</v>
      </c>
      <c r="F93" s="1" t="str">
        <f>TEXT(Table1[[#This Row],[Date]],"mmm")</f>
        <v>Jul</v>
      </c>
      <c r="G93" s="7">
        <v>4221</v>
      </c>
      <c r="H93">
        <v>9</v>
      </c>
    </row>
    <row r="94" spans="1:8" x14ac:dyDescent="0.25">
      <c r="A94" t="s">
        <v>9</v>
      </c>
      <c r="B94" t="s">
        <v>26</v>
      </c>
      <c r="C94" t="s">
        <v>20</v>
      </c>
      <c r="D94" s="2">
        <v>44768</v>
      </c>
      <c r="E94" s="1" t="str">
        <f>TEXT(Table1[[#This Row],[Date]],"ddd")</f>
        <v>Tue</v>
      </c>
      <c r="F94" s="1" t="str">
        <f>TEXT(Table1[[#This Row],[Date]],"mmm")</f>
        <v>Jul</v>
      </c>
      <c r="G94" s="7">
        <v>630</v>
      </c>
      <c r="H94">
        <v>264</v>
      </c>
    </row>
    <row r="95" spans="1:8" x14ac:dyDescent="0.25">
      <c r="A95" t="s">
        <v>46</v>
      </c>
      <c r="B95" t="s">
        <v>15</v>
      </c>
      <c r="C95" t="s">
        <v>35</v>
      </c>
      <c r="D95" s="2">
        <v>44749</v>
      </c>
      <c r="E95" s="1" t="str">
        <f>TEXT(Table1[[#This Row],[Date]],"ddd")</f>
        <v>Thu</v>
      </c>
      <c r="F95" s="1" t="str">
        <f>TEXT(Table1[[#This Row],[Date]],"mmm")</f>
        <v>Jul</v>
      </c>
      <c r="G95" s="7">
        <v>1743</v>
      </c>
      <c r="H95">
        <v>111</v>
      </c>
    </row>
    <row r="96" spans="1:8" x14ac:dyDescent="0.25">
      <c r="A96" t="s">
        <v>31</v>
      </c>
      <c r="B96" t="s">
        <v>29</v>
      </c>
      <c r="C96" t="s">
        <v>22</v>
      </c>
      <c r="D96" s="2">
        <v>44757</v>
      </c>
      <c r="E96" s="1" t="str">
        <f>TEXT(Table1[[#This Row],[Date]],"ddd")</f>
        <v>Fri</v>
      </c>
      <c r="F96" s="1" t="str">
        <f>TEXT(Table1[[#This Row],[Date]],"mmm")</f>
        <v>Jul</v>
      </c>
      <c r="G96" s="7">
        <v>2919</v>
      </c>
      <c r="H96">
        <v>65</v>
      </c>
    </row>
    <row r="97" spans="1:8" x14ac:dyDescent="0.25">
      <c r="A97" t="s">
        <v>36</v>
      </c>
      <c r="B97" t="s">
        <v>21</v>
      </c>
      <c r="C97" t="s">
        <v>27</v>
      </c>
      <c r="D97" s="2">
        <v>44652</v>
      </c>
      <c r="E97" s="1" t="str">
        <f>TEXT(Table1[[#This Row],[Date]],"ddd")</f>
        <v>Fri</v>
      </c>
      <c r="F97" s="1" t="str">
        <f>TEXT(Table1[[#This Row],[Date]],"mmm")</f>
        <v>Apr</v>
      </c>
      <c r="G97" s="7">
        <v>49</v>
      </c>
      <c r="H97">
        <v>97</v>
      </c>
    </row>
    <row r="98" spans="1:8" x14ac:dyDescent="0.25">
      <c r="A98" t="s">
        <v>34</v>
      </c>
      <c r="B98" t="s">
        <v>15</v>
      </c>
      <c r="C98" t="s">
        <v>30</v>
      </c>
      <c r="D98" s="2">
        <v>44732</v>
      </c>
      <c r="E98" s="1" t="str">
        <f>TEXT(Table1[[#This Row],[Date]],"ddd")</f>
        <v>Mon</v>
      </c>
      <c r="F98" s="1" t="str">
        <f>TEXT(Table1[[#This Row],[Date]],"mmm")</f>
        <v>Jun</v>
      </c>
      <c r="G98" s="7">
        <v>1827</v>
      </c>
      <c r="H98">
        <v>6</v>
      </c>
    </row>
    <row r="99" spans="1:8" x14ac:dyDescent="0.25">
      <c r="A99" t="s">
        <v>49</v>
      </c>
      <c r="B99" t="s">
        <v>7</v>
      </c>
      <c r="C99" t="s">
        <v>42</v>
      </c>
      <c r="D99" s="2">
        <v>44741</v>
      </c>
      <c r="E99" s="1" t="str">
        <f>TEXT(Table1[[#This Row],[Date]],"ddd")</f>
        <v>Wed</v>
      </c>
      <c r="F99" s="1" t="str">
        <f>TEXT(Table1[[#This Row],[Date]],"mmm")</f>
        <v>Jun</v>
      </c>
      <c r="G99" s="7">
        <v>13006</v>
      </c>
      <c r="H99">
        <v>482</v>
      </c>
    </row>
    <row r="100" spans="1:8" x14ac:dyDescent="0.25">
      <c r="A100" t="s">
        <v>33</v>
      </c>
      <c r="B100" t="s">
        <v>26</v>
      </c>
      <c r="C100" t="s">
        <v>22</v>
      </c>
      <c r="D100" s="2">
        <v>44727</v>
      </c>
      <c r="E100" s="1" t="str">
        <f>TEXT(Table1[[#This Row],[Date]],"ddd")</f>
        <v>Wed</v>
      </c>
      <c r="F100" s="1" t="str">
        <f>TEXT(Table1[[#This Row],[Date]],"mmm")</f>
        <v>Jun</v>
      </c>
      <c r="G100" s="7">
        <v>1064</v>
      </c>
      <c r="H100">
        <v>106</v>
      </c>
    </row>
    <row r="101" spans="1:8" x14ac:dyDescent="0.25">
      <c r="A101" t="s">
        <v>40</v>
      </c>
      <c r="B101" t="s">
        <v>26</v>
      </c>
      <c r="C101" t="s">
        <v>20</v>
      </c>
      <c r="D101" s="2">
        <v>44659</v>
      </c>
      <c r="E101" s="1" t="str">
        <f>TEXT(Table1[[#This Row],[Date]],"ddd")</f>
        <v>Fri</v>
      </c>
      <c r="F101" s="1" t="str">
        <f>TEXT(Table1[[#This Row],[Date]],"mmm")</f>
        <v>Apr</v>
      </c>
      <c r="G101" s="7">
        <v>11571</v>
      </c>
      <c r="H101">
        <v>180</v>
      </c>
    </row>
    <row r="102" spans="1:8" x14ac:dyDescent="0.25">
      <c r="A102" t="s">
        <v>43</v>
      </c>
      <c r="B102" t="s">
        <v>15</v>
      </c>
      <c r="C102" t="s">
        <v>51</v>
      </c>
      <c r="D102" s="2">
        <v>44634</v>
      </c>
      <c r="E102" s="1" t="str">
        <f>TEXT(Table1[[#This Row],[Date]],"ddd")</f>
        <v>Mon</v>
      </c>
      <c r="F102" s="1" t="str">
        <f>TEXT(Table1[[#This Row],[Date]],"mmm")</f>
        <v>Mar</v>
      </c>
      <c r="G102" s="7">
        <v>5740</v>
      </c>
      <c r="H102">
        <v>31</v>
      </c>
    </row>
    <row r="103" spans="1:8" x14ac:dyDescent="0.25">
      <c r="A103" t="s">
        <v>48</v>
      </c>
      <c r="B103" t="s">
        <v>26</v>
      </c>
      <c r="C103" t="s">
        <v>42</v>
      </c>
      <c r="D103" s="2">
        <v>44757</v>
      </c>
      <c r="E103" s="1" t="str">
        <f>TEXT(Table1[[#This Row],[Date]],"ddd")</f>
        <v>Fri</v>
      </c>
      <c r="F103" s="1" t="str">
        <f>TEXT(Table1[[#This Row],[Date]],"mmm")</f>
        <v>Jul</v>
      </c>
      <c r="G103" s="7">
        <v>1456</v>
      </c>
      <c r="H103">
        <v>359</v>
      </c>
    </row>
    <row r="104" spans="1:8" x14ac:dyDescent="0.25">
      <c r="A104" t="s">
        <v>49</v>
      </c>
      <c r="B104" t="s">
        <v>10</v>
      </c>
      <c r="C104" t="s">
        <v>30</v>
      </c>
      <c r="D104" s="2">
        <v>44670</v>
      </c>
      <c r="E104" s="1" t="str">
        <f>TEXT(Table1[[#This Row],[Date]],"ddd")</f>
        <v>Tue</v>
      </c>
      <c r="F104" s="1" t="str">
        <f>TEXT(Table1[[#This Row],[Date]],"mmm")</f>
        <v>Apr</v>
      </c>
      <c r="G104" s="7">
        <v>5334</v>
      </c>
      <c r="H104">
        <v>80</v>
      </c>
    </row>
    <row r="105" spans="1:8" x14ac:dyDescent="0.25">
      <c r="A105" t="s">
        <v>33</v>
      </c>
      <c r="B105" t="s">
        <v>26</v>
      </c>
      <c r="C105" t="s">
        <v>18</v>
      </c>
      <c r="D105" s="2">
        <v>44648</v>
      </c>
      <c r="E105" s="1" t="str">
        <f>TEXT(Table1[[#This Row],[Date]],"ddd")</f>
        <v>Mon</v>
      </c>
      <c r="F105" s="1" t="str">
        <f>TEXT(Table1[[#This Row],[Date]],"mmm")</f>
        <v>Mar</v>
      </c>
      <c r="G105" s="7">
        <v>4151</v>
      </c>
      <c r="H105">
        <v>296</v>
      </c>
    </row>
    <row r="106" spans="1:8" x14ac:dyDescent="0.25">
      <c r="A106" t="s">
        <v>23</v>
      </c>
      <c r="B106" t="s">
        <v>29</v>
      </c>
      <c r="C106" t="s">
        <v>39</v>
      </c>
      <c r="D106" s="2">
        <v>44624</v>
      </c>
      <c r="E106" s="1" t="str">
        <f>TEXT(Table1[[#This Row],[Date]],"ddd")</f>
        <v>Fri</v>
      </c>
      <c r="F106" s="1" t="str">
        <f>TEXT(Table1[[#This Row],[Date]],"mmm")</f>
        <v>Mar</v>
      </c>
      <c r="G106" s="7">
        <v>8106</v>
      </c>
      <c r="H106">
        <v>101</v>
      </c>
    </row>
    <row r="107" spans="1:8" x14ac:dyDescent="0.25">
      <c r="A107" t="s">
        <v>31</v>
      </c>
      <c r="B107" t="s">
        <v>21</v>
      </c>
      <c r="C107" t="s">
        <v>58</v>
      </c>
      <c r="D107" s="2">
        <v>44775</v>
      </c>
      <c r="E107" s="1" t="str">
        <f>TEXT(Table1[[#This Row],[Date]],"ddd")</f>
        <v>Tue</v>
      </c>
      <c r="F107" s="1" t="str">
        <f>TEXT(Table1[[#This Row],[Date]],"mmm")</f>
        <v>Aug</v>
      </c>
      <c r="G107" s="7">
        <v>126</v>
      </c>
      <c r="H107">
        <v>40</v>
      </c>
    </row>
    <row r="108" spans="1:8" x14ac:dyDescent="0.25">
      <c r="A108" t="s">
        <v>40</v>
      </c>
      <c r="B108" t="s">
        <v>7</v>
      </c>
      <c r="C108" t="s">
        <v>39</v>
      </c>
      <c r="D108" s="2">
        <v>44798</v>
      </c>
      <c r="E108" s="1" t="str">
        <f>TEXT(Table1[[#This Row],[Date]],"ddd")</f>
        <v>Thu</v>
      </c>
      <c r="F108" s="1" t="str">
        <f>TEXT(Table1[[#This Row],[Date]],"mmm")</f>
        <v>Aug</v>
      </c>
      <c r="G108" s="7">
        <v>4697</v>
      </c>
      <c r="H108">
        <v>42</v>
      </c>
    </row>
    <row r="109" spans="1:8" x14ac:dyDescent="0.25">
      <c r="A109" t="s">
        <v>33</v>
      </c>
      <c r="B109" t="s">
        <v>26</v>
      </c>
      <c r="C109" t="s">
        <v>47</v>
      </c>
      <c r="D109" s="2">
        <v>44617</v>
      </c>
      <c r="E109" s="1" t="str">
        <f>TEXT(Table1[[#This Row],[Date]],"ddd")</f>
        <v>Fri</v>
      </c>
      <c r="F109" s="1" t="str">
        <f>TEXT(Table1[[#This Row],[Date]],"mmm")</f>
        <v>Feb</v>
      </c>
      <c r="G109" s="7">
        <v>7798</v>
      </c>
      <c r="H109">
        <v>167</v>
      </c>
    </row>
    <row r="110" spans="1:8" x14ac:dyDescent="0.25">
      <c r="A110" t="s">
        <v>49</v>
      </c>
      <c r="B110" t="s">
        <v>10</v>
      </c>
      <c r="C110" t="s">
        <v>27</v>
      </c>
      <c r="D110" s="2">
        <v>44719</v>
      </c>
      <c r="E110" s="1" t="str">
        <f>TEXT(Table1[[#This Row],[Date]],"ddd")</f>
        <v>Tue</v>
      </c>
      <c r="F110" s="1" t="str">
        <f>TEXT(Table1[[#This Row],[Date]],"mmm")</f>
        <v>Jun</v>
      </c>
      <c r="G110" s="7">
        <v>9408</v>
      </c>
      <c r="H110">
        <v>138</v>
      </c>
    </row>
    <row r="111" spans="1:8" x14ac:dyDescent="0.25">
      <c r="A111" t="s">
        <v>14</v>
      </c>
      <c r="B111" t="s">
        <v>10</v>
      </c>
      <c r="C111" t="s">
        <v>39</v>
      </c>
      <c r="D111" s="2">
        <v>44663</v>
      </c>
      <c r="E111" s="1" t="str">
        <f>TEXT(Table1[[#This Row],[Date]],"ddd")</f>
        <v>Tue</v>
      </c>
      <c r="F111" s="1" t="str">
        <f>TEXT(Table1[[#This Row],[Date]],"mmm")</f>
        <v>Apr</v>
      </c>
      <c r="G111" s="7">
        <v>1939</v>
      </c>
      <c r="H111">
        <v>520</v>
      </c>
    </row>
    <row r="112" spans="1:8" x14ac:dyDescent="0.25">
      <c r="A112" t="s">
        <v>55</v>
      </c>
      <c r="B112" t="s">
        <v>10</v>
      </c>
      <c r="C112" t="s">
        <v>39</v>
      </c>
      <c r="D112" s="2">
        <v>44748</v>
      </c>
      <c r="E112" s="1" t="str">
        <f>TEXT(Table1[[#This Row],[Date]],"ddd")</f>
        <v>Wed</v>
      </c>
      <c r="F112" s="1" t="str">
        <f>TEXT(Table1[[#This Row],[Date]],"mmm")</f>
        <v>Jul</v>
      </c>
      <c r="G112" s="7">
        <v>10906</v>
      </c>
      <c r="H112">
        <v>94</v>
      </c>
    </row>
    <row r="113" spans="1:8" x14ac:dyDescent="0.25">
      <c r="A113" t="s">
        <v>49</v>
      </c>
      <c r="B113" t="s">
        <v>7</v>
      </c>
      <c r="C113" t="s">
        <v>16</v>
      </c>
      <c r="D113" s="2">
        <v>44580</v>
      </c>
      <c r="E113" s="1" t="str">
        <f>TEXT(Table1[[#This Row],[Date]],"ddd")</f>
        <v>Wed</v>
      </c>
      <c r="F113" s="1" t="str">
        <f>TEXT(Table1[[#This Row],[Date]],"mmm")</f>
        <v>Jan</v>
      </c>
      <c r="G113" s="7">
        <v>5929</v>
      </c>
      <c r="H113">
        <v>175</v>
      </c>
    </row>
    <row r="114" spans="1:8" x14ac:dyDescent="0.25">
      <c r="A114" t="s">
        <v>53</v>
      </c>
      <c r="B114" t="s">
        <v>15</v>
      </c>
      <c r="C114" t="s">
        <v>42</v>
      </c>
      <c r="D114" s="2">
        <v>44566</v>
      </c>
      <c r="E114" s="1" t="str">
        <f>TEXT(Table1[[#This Row],[Date]],"ddd")</f>
        <v>Wed</v>
      </c>
      <c r="F114" s="1" t="str">
        <f>TEXT(Table1[[#This Row],[Date]],"mmm")</f>
        <v>Jan</v>
      </c>
      <c r="G114" s="7">
        <v>5579</v>
      </c>
      <c r="H114">
        <v>92</v>
      </c>
    </row>
    <row r="115" spans="1:8" x14ac:dyDescent="0.25">
      <c r="A115" t="s">
        <v>53</v>
      </c>
      <c r="B115" t="s">
        <v>29</v>
      </c>
      <c r="C115" t="s">
        <v>58</v>
      </c>
      <c r="D115" s="2">
        <v>44585</v>
      </c>
      <c r="E115" s="1" t="str">
        <f>TEXT(Table1[[#This Row],[Date]],"ddd")</f>
        <v>Mon</v>
      </c>
      <c r="F115" s="1" t="str">
        <f>TEXT(Table1[[#This Row],[Date]],"mmm")</f>
        <v>Jan</v>
      </c>
      <c r="G115" s="7">
        <v>10927</v>
      </c>
      <c r="H115">
        <v>141</v>
      </c>
    </row>
    <row r="116" spans="1:8" x14ac:dyDescent="0.25">
      <c r="A116" t="s">
        <v>46</v>
      </c>
      <c r="B116" t="s">
        <v>15</v>
      </c>
      <c r="C116" t="s">
        <v>32</v>
      </c>
      <c r="D116" s="2">
        <v>44657</v>
      </c>
      <c r="E116" s="1" t="str">
        <f>TEXT(Table1[[#This Row],[Date]],"ddd")</f>
        <v>Wed</v>
      </c>
      <c r="F116" s="1" t="str">
        <f>TEXT(Table1[[#This Row],[Date]],"mmm")</f>
        <v>Apr</v>
      </c>
      <c r="G116" s="7">
        <v>623</v>
      </c>
      <c r="H116">
        <v>283</v>
      </c>
    </row>
    <row r="117" spans="1:8" x14ac:dyDescent="0.25">
      <c r="A117" t="s">
        <v>19</v>
      </c>
      <c r="B117" t="s">
        <v>15</v>
      </c>
      <c r="C117" t="s">
        <v>42</v>
      </c>
      <c r="D117" s="2">
        <v>44727</v>
      </c>
      <c r="E117" s="1" t="str">
        <f>TEXT(Table1[[#This Row],[Date]],"ddd")</f>
        <v>Wed</v>
      </c>
      <c r="F117" s="1" t="str">
        <f>TEXT(Table1[[#This Row],[Date]],"mmm")</f>
        <v>Jun</v>
      </c>
      <c r="G117" s="7">
        <v>6013</v>
      </c>
      <c r="H117">
        <v>21</v>
      </c>
    </row>
    <row r="118" spans="1:8" x14ac:dyDescent="0.25">
      <c r="A118" t="s">
        <v>12</v>
      </c>
      <c r="B118" t="s">
        <v>29</v>
      </c>
      <c r="C118" t="s">
        <v>56</v>
      </c>
      <c r="D118" s="2">
        <v>44589</v>
      </c>
      <c r="E118" s="1" t="str">
        <f>TEXT(Table1[[#This Row],[Date]],"ddd")</f>
        <v>Fri</v>
      </c>
      <c r="F118" s="1" t="str">
        <f>TEXT(Table1[[#This Row],[Date]],"mmm")</f>
        <v>Jan</v>
      </c>
      <c r="G118" s="7">
        <v>1505</v>
      </c>
      <c r="H118">
        <v>47</v>
      </c>
    </row>
    <row r="119" spans="1:8" x14ac:dyDescent="0.25">
      <c r="A119" t="s">
        <v>49</v>
      </c>
      <c r="B119" t="s">
        <v>10</v>
      </c>
      <c r="C119" t="s">
        <v>57</v>
      </c>
      <c r="D119" s="2">
        <v>44636</v>
      </c>
      <c r="E119" s="1" t="str">
        <f>TEXT(Table1[[#This Row],[Date]],"ddd")</f>
        <v>Wed</v>
      </c>
      <c r="F119" s="1" t="str">
        <f>TEXT(Table1[[#This Row],[Date]],"mmm")</f>
        <v>Mar</v>
      </c>
      <c r="G119" s="7">
        <v>476</v>
      </c>
      <c r="H119">
        <v>125</v>
      </c>
    </row>
    <row r="120" spans="1:8" x14ac:dyDescent="0.25">
      <c r="A120" t="s">
        <v>24</v>
      </c>
      <c r="B120" t="s">
        <v>15</v>
      </c>
      <c r="C120" t="s">
        <v>32</v>
      </c>
      <c r="D120" s="2">
        <v>44613</v>
      </c>
      <c r="E120" s="1" t="str">
        <f>TEXT(Table1[[#This Row],[Date]],"ddd")</f>
        <v>Mon</v>
      </c>
      <c r="F120" s="1" t="str">
        <f>TEXT(Table1[[#This Row],[Date]],"mmm")</f>
        <v>Feb</v>
      </c>
      <c r="G120" s="7">
        <v>11550</v>
      </c>
      <c r="H120">
        <v>396</v>
      </c>
    </row>
    <row r="121" spans="1:8" x14ac:dyDescent="0.25">
      <c r="A121" t="s">
        <v>49</v>
      </c>
      <c r="B121" t="s">
        <v>26</v>
      </c>
      <c r="C121" t="s">
        <v>45</v>
      </c>
      <c r="D121" s="2">
        <v>44608</v>
      </c>
      <c r="E121" s="1" t="str">
        <f>TEXT(Table1[[#This Row],[Date]],"ddd")</f>
        <v>Wed</v>
      </c>
      <c r="F121" s="1" t="str">
        <f>TEXT(Table1[[#This Row],[Date]],"mmm")</f>
        <v>Feb</v>
      </c>
      <c r="G121" s="7">
        <v>17318</v>
      </c>
      <c r="H121">
        <v>87</v>
      </c>
    </row>
    <row r="122" spans="1:8" x14ac:dyDescent="0.25">
      <c r="A122" t="s">
        <v>6</v>
      </c>
      <c r="B122" t="s">
        <v>29</v>
      </c>
      <c r="C122" t="s">
        <v>39</v>
      </c>
      <c r="D122" s="2">
        <v>44574</v>
      </c>
      <c r="E122" s="1" t="str">
        <f>TEXT(Table1[[#This Row],[Date]],"ddd")</f>
        <v>Thu</v>
      </c>
      <c r="F122" s="1" t="str">
        <f>TEXT(Table1[[#This Row],[Date]],"mmm")</f>
        <v>Jan</v>
      </c>
      <c r="G122" s="7">
        <v>1848</v>
      </c>
      <c r="H122">
        <v>27</v>
      </c>
    </row>
    <row r="123" spans="1:8" x14ac:dyDescent="0.25">
      <c r="A123" t="s">
        <v>49</v>
      </c>
      <c r="B123" t="s">
        <v>15</v>
      </c>
      <c r="C123" t="s">
        <v>30</v>
      </c>
      <c r="D123" s="2">
        <v>44643</v>
      </c>
      <c r="E123" s="1" t="str">
        <f>TEXT(Table1[[#This Row],[Date]],"ddd")</f>
        <v>Wed</v>
      </c>
      <c r="F123" s="1" t="str">
        <f>TEXT(Table1[[#This Row],[Date]],"mmm")</f>
        <v>Mar</v>
      </c>
      <c r="G123" s="7">
        <v>7273</v>
      </c>
      <c r="H123">
        <v>547</v>
      </c>
    </row>
    <row r="124" spans="1:8" x14ac:dyDescent="0.25">
      <c r="A124" t="s">
        <v>38</v>
      </c>
      <c r="B124" t="s">
        <v>29</v>
      </c>
      <c r="C124" t="s">
        <v>39</v>
      </c>
      <c r="D124" s="2">
        <v>44728</v>
      </c>
      <c r="E124" s="1" t="str">
        <f>TEXT(Table1[[#This Row],[Date]],"ddd")</f>
        <v>Thu</v>
      </c>
      <c r="F124" s="1" t="str">
        <f>TEXT(Table1[[#This Row],[Date]],"mmm")</f>
        <v>Jun</v>
      </c>
      <c r="G124" s="7">
        <v>854</v>
      </c>
      <c r="H124">
        <v>118</v>
      </c>
    </row>
    <row r="125" spans="1:8" x14ac:dyDescent="0.25">
      <c r="A125" t="s">
        <v>17</v>
      </c>
      <c r="B125" t="s">
        <v>10</v>
      </c>
      <c r="C125" t="s">
        <v>51</v>
      </c>
      <c r="D125" s="2">
        <v>44665</v>
      </c>
      <c r="E125" s="1" t="str">
        <f>TEXT(Table1[[#This Row],[Date]],"ddd")</f>
        <v>Thu</v>
      </c>
      <c r="F125" s="1" t="str">
        <f>TEXT(Table1[[#This Row],[Date]],"mmm")</f>
        <v>Apr</v>
      </c>
      <c r="G125" s="7">
        <v>6832</v>
      </c>
      <c r="H125">
        <v>46</v>
      </c>
    </row>
    <row r="126" spans="1:8" x14ac:dyDescent="0.25">
      <c r="A126" t="s">
        <v>49</v>
      </c>
      <c r="B126" t="s">
        <v>7</v>
      </c>
      <c r="C126" t="s">
        <v>30</v>
      </c>
      <c r="D126" s="2">
        <v>44586</v>
      </c>
      <c r="E126" s="1" t="str">
        <f>TEXT(Table1[[#This Row],[Date]],"ddd")</f>
        <v>Tue</v>
      </c>
      <c r="F126" s="1" t="str">
        <f>TEXT(Table1[[#This Row],[Date]],"mmm")</f>
        <v>Jan</v>
      </c>
      <c r="G126" s="7">
        <v>4606</v>
      </c>
      <c r="H126">
        <v>57</v>
      </c>
    </row>
    <row r="127" spans="1:8" x14ac:dyDescent="0.25">
      <c r="A127" t="s">
        <v>14</v>
      </c>
      <c r="B127" t="s">
        <v>10</v>
      </c>
      <c r="C127" t="s">
        <v>47</v>
      </c>
      <c r="D127" s="2">
        <v>44631</v>
      </c>
      <c r="E127" s="1" t="str">
        <f>TEXT(Table1[[#This Row],[Date]],"ddd")</f>
        <v>Fri</v>
      </c>
      <c r="F127" s="1" t="str">
        <f>TEXT(Table1[[#This Row],[Date]],"mmm")</f>
        <v>Mar</v>
      </c>
      <c r="G127" s="7">
        <v>4466</v>
      </c>
      <c r="H127">
        <v>22</v>
      </c>
    </row>
    <row r="128" spans="1:8" x14ac:dyDescent="0.25">
      <c r="A128" t="s">
        <v>54</v>
      </c>
      <c r="B128" t="s">
        <v>7</v>
      </c>
      <c r="C128" t="s">
        <v>47</v>
      </c>
      <c r="D128" s="2">
        <v>44770</v>
      </c>
      <c r="E128" s="1" t="str">
        <f>TEXT(Table1[[#This Row],[Date]],"ddd")</f>
        <v>Thu</v>
      </c>
      <c r="F128" s="1" t="str">
        <f>TEXT(Table1[[#This Row],[Date]],"mmm")</f>
        <v>Jul</v>
      </c>
      <c r="G128" s="7">
        <v>16114</v>
      </c>
      <c r="H128">
        <v>96</v>
      </c>
    </row>
    <row r="129" spans="1:8" x14ac:dyDescent="0.25">
      <c r="A129" t="s">
        <v>33</v>
      </c>
      <c r="B129" t="s">
        <v>21</v>
      </c>
      <c r="C129" t="s">
        <v>20</v>
      </c>
      <c r="D129" s="2">
        <v>44629</v>
      </c>
      <c r="E129" s="1" t="str">
        <f>TEXT(Table1[[#This Row],[Date]],"ddd")</f>
        <v>Wed</v>
      </c>
      <c r="F129" s="1" t="str">
        <f>TEXT(Table1[[#This Row],[Date]],"mmm")</f>
        <v>Mar</v>
      </c>
      <c r="G129" s="7">
        <v>1561</v>
      </c>
      <c r="H129">
        <v>44</v>
      </c>
    </row>
    <row r="130" spans="1:8" x14ac:dyDescent="0.25">
      <c r="A130" t="s">
        <v>40</v>
      </c>
      <c r="B130" t="s">
        <v>15</v>
      </c>
      <c r="C130" t="s">
        <v>27</v>
      </c>
      <c r="D130" s="2">
        <v>44740</v>
      </c>
      <c r="E130" s="1" t="str">
        <f>TEXT(Table1[[#This Row],[Date]],"ddd")</f>
        <v>Tue</v>
      </c>
      <c r="F130" s="1" t="str">
        <f>TEXT(Table1[[#This Row],[Date]],"mmm")</f>
        <v>Jun</v>
      </c>
      <c r="G130" s="7">
        <v>8897</v>
      </c>
      <c r="H130">
        <v>188</v>
      </c>
    </row>
    <row r="131" spans="1:8" x14ac:dyDescent="0.25">
      <c r="A131" t="s">
        <v>33</v>
      </c>
      <c r="B131" t="s">
        <v>15</v>
      </c>
      <c r="C131" t="s">
        <v>37</v>
      </c>
      <c r="D131" s="2">
        <v>44770</v>
      </c>
      <c r="E131" s="1" t="str">
        <f>TEXT(Table1[[#This Row],[Date]],"ddd")</f>
        <v>Thu</v>
      </c>
      <c r="F131" s="1" t="str">
        <f>TEXT(Table1[[#This Row],[Date]],"mmm")</f>
        <v>Jul</v>
      </c>
      <c r="G131" s="7">
        <v>2464</v>
      </c>
      <c r="H131">
        <v>387</v>
      </c>
    </row>
    <row r="132" spans="1:8" x14ac:dyDescent="0.25">
      <c r="A132" t="s">
        <v>49</v>
      </c>
      <c r="B132" t="s">
        <v>29</v>
      </c>
      <c r="C132" t="s">
        <v>18</v>
      </c>
      <c r="D132" s="2">
        <v>44788</v>
      </c>
      <c r="E132" s="1" t="str">
        <f>TEXT(Table1[[#This Row],[Date]],"ddd")</f>
        <v>Mon</v>
      </c>
      <c r="F132" s="1" t="str">
        <f>TEXT(Table1[[#This Row],[Date]],"mmm")</f>
        <v>Aug</v>
      </c>
      <c r="G132" s="7">
        <v>4830</v>
      </c>
      <c r="H132">
        <v>50</v>
      </c>
    </row>
    <row r="133" spans="1:8" x14ac:dyDescent="0.25">
      <c r="A133" t="s">
        <v>41</v>
      </c>
      <c r="B133" t="s">
        <v>15</v>
      </c>
      <c r="C133" t="s">
        <v>45</v>
      </c>
      <c r="D133" s="2">
        <v>44573</v>
      </c>
      <c r="E133" s="1" t="str">
        <f>TEXT(Table1[[#This Row],[Date]],"ddd")</f>
        <v>Wed</v>
      </c>
      <c r="F133" s="1" t="str">
        <f>TEXT(Table1[[#This Row],[Date]],"mmm")</f>
        <v>Jan</v>
      </c>
      <c r="G133" s="7">
        <v>2765</v>
      </c>
      <c r="H133">
        <v>264</v>
      </c>
    </row>
    <row r="134" spans="1:8" x14ac:dyDescent="0.25">
      <c r="A134" t="s">
        <v>34</v>
      </c>
      <c r="B134" t="s">
        <v>21</v>
      </c>
      <c r="C134" t="s">
        <v>44</v>
      </c>
      <c r="D134" s="2">
        <v>44644</v>
      </c>
      <c r="E134" s="1" t="str">
        <f>TEXT(Table1[[#This Row],[Date]],"ddd")</f>
        <v>Thu</v>
      </c>
      <c r="F134" s="1" t="str">
        <f>TEXT(Table1[[#This Row],[Date]],"mmm")</f>
        <v>Mar</v>
      </c>
      <c r="G134" s="7">
        <v>7126</v>
      </c>
      <c r="H134">
        <v>7</v>
      </c>
    </row>
    <row r="135" spans="1:8" x14ac:dyDescent="0.25">
      <c r="A135" t="s">
        <v>9</v>
      </c>
      <c r="B135" t="s">
        <v>7</v>
      </c>
      <c r="C135" t="s">
        <v>37</v>
      </c>
      <c r="D135" s="2">
        <v>44767</v>
      </c>
      <c r="E135" s="1" t="str">
        <f>TEXT(Table1[[#This Row],[Date]],"ddd")</f>
        <v>Mon</v>
      </c>
      <c r="F135" s="1" t="str">
        <f>TEXT(Table1[[#This Row],[Date]],"mmm")</f>
        <v>Jul</v>
      </c>
      <c r="G135" s="7">
        <v>4263</v>
      </c>
      <c r="H135">
        <v>90</v>
      </c>
    </row>
    <row r="136" spans="1:8" x14ac:dyDescent="0.25">
      <c r="A136" t="s">
        <v>17</v>
      </c>
      <c r="B136" t="s">
        <v>29</v>
      </c>
      <c r="C136" t="s">
        <v>18</v>
      </c>
      <c r="D136" s="2">
        <v>44774</v>
      </c>
      <c r="E136" s="1" t="str">
        <f>TEXT(Table1[[#This Row],[Date]],"ddd")</f>
        <v>Mon</v>
      </c>
      <c r="F136" s="1" t="str">
        <f>TEXT(Table1[[#This Row],[Date]],"mmm")</f>
        <v>Aug</v>
      </c>
      <c r="G136" s="7">
        <v>3605</v>
      </c>
      <c r="H136">
        <v>403</v>
      </c>
    </row>
    <row r="137" spans="1:8" x14ac:dyDescent="0.25">
      <c r="A137" t="s">
        <v>9</v>
      </c>
      <c r="B137" t="s">
        <v>10</v>
      </c>
      <c r="C137" t="s">
        <v>35</v>
      </c>
      <c r="D137" s="2">
        <v>44697</v>
      </c>
      <c r="E137" s="1" t="str">
        <f>TEXT(Table1[[#This Row],[Date]],"ddd")</f>
        <v>Mon</v>
      </c>
      <c r="F137" s="1" t="str">
        <f>TEXT(Table1[[#This Row],[Date]],"mmm")</f>
        <v>May</v>
      </c>
      <c r="G137" s="7">
        <v>19929</v>
      </c>
      <c r="H137">
        <v>174</v>
      </c>
    </row>
    <row r="138" spans="1:8" x14ac:dyDescent="0.25">
      <c r="A138" t="s">
        <v>36</v>
      </c>
      <c r="B138" t="s">
        <v>10</v>
      </c>
      <c r="C138" t="s">
        <v>16</v>
      </c>
      <c r="D138" s="2">
        <v>44783</v>
      </c>
      <c r="E138" s="1" t="str">
        <f>TEXT(Table1[[#This Row],[Date]],"ddd")</f>
        <v>Wed</v>
      </c>
      <c r="F138" s="1" t="str">
        <f>TEXT(Table1[[#This Row],[Date]],"mmm")</f>
        <v>Aug</v>
      </c>
      <c r="G138" s="7">
        <v>5103</v>
      </c>
      <c r="H138">
        <v>140</v>
      </c>
    </row>
    <row r="139" spans="1:8" x14ac:dyDescent="0.25">
      <c r="A139" t="s">
        <v>14</v>
      </c>
      <c r="B139" t="s">
        <v>10</v>
      </c>
      <c r="C139" t="s">
        <v>30</v>
      </c>
      <c r="D139" s="2">
        <v>44566</v>
      </c>
      <c r="E139" s="1" t="str">
        <f>TEXT(Table1[[#This Row],[Date]],"ddd")</f>
        <v>Wed</v>
      </c>
      <c r="F139" s="1" t="str">
        <f>TEXT(Table1[[#This Row],[Date]],"mmm")</f>
        <v>Jan</v>
      </c>
      <c r="G139" s="7">
        <v>2541</v>
      </c>
      <c r="H139">
        <v>27</v>
      </c>
    </row>
    <row r="140" spans="1:8" x14ac:dyDescent="0.25">
      <c r="A140" t="s">
        <v>55</v>
      </c>
      <c r="B140" t="s">
        <v>7</v>
      </c>
      <c r="C140" t="s">
        <v>16</v>
      </c>
      <c r="D140" s="2">
        <v>44753</v>
      </c>
      <c r="E140" s="1" t="str">
        <f>TEXT(Table1[[#This Row],[Date]],"ddd")</f>
        <v>Mon</v>
      </c>
      <c r="F140" s="1" t="str">
        <f>TEXT(Table1[[#This Row],[Date]],"mmm")</f>
        <v>Jul</v>
      </c>
      <c r="G140" s="7">
        <v>5663</v>
      </c>
      <c r="H140">
        <v>110</v>
      </c>
    </row>
    <row r="141" spans="1:8" x14ac:dyDescent="0.25">
      <c r="A141" t="s">
        <v>46</v>
      </c>
      <c r="B141" t="s">
        <v>26</v>
      </c>
      <c r="C141" t="s">
        <v>20</v>
      </c>
      <c r="D141" s="2">
        <v>44676</v>
      </c>
      <c r="E141" s="1" t="str">
        <f>TEXT(Table1[[#This Row],[Date]],"ddd")</f>
        <v>Mon</v>
      </c>
      <c r="F141" s="1" t="str">
        <f>TEXT(Table1[[#This Row],[Date]],"mmm")</f>
        <v>Apr</v>
      </c>
      <c r="G141" s="7">
        <v>392</v>
      </c>
      <c r="H141">
        <v>30</v>
      </c>
    </row>
    <row r="142" spans="1:8" x14ac:dyDescent="0.25">
      <c r="A142" t="s">
        <v>12</v>
      </c>
      <c r="B142" t="s">
        <v>21</v>
      </c>
      <c r="C142" t="s">
        <v>42</v>
      </c>
      <c r="D142" s="2">
        <v>44655</v>
      </c>
      <c r="E142" s="1" t="str">
        <f>TEXT(Table1[[#This Row],[Date]],"ddd")</f>
        <v>Mon</v>
      </c>
      <c r="F142" s="1" t="str">
        <f>TEXT(Table1[[#This Row],[Date]],"mmm")</f>
        <v>Apr</v>
      </c>
      <c r="G142" s="7">
        <v>10976</v>
      </c>
      <c r="H142">
        <v>121</v>
      </c>
    </row>
    <row r="143" spans="1:8" x14ac:dyDescent="0.25">
      <c r="A143" t="s">
        <v>25</v>
      </c>
      <c r="B143" t="s">
        <v>26</v>
      </c>
      <c r="C143" t="s">
        <v>51</v>
      </c>
      <c r="D143" s="2">
        <v>44663</v>
      </c>
      <c r="E143" s="1" t="str">
        <f>TEXT(Table1[[#This Row],[Date]],"ddd")</f>
        <v>Tue</v>
      </c>
      <c r="F143" s="1" t="str">
        <f>TEXT(Table1[[#This Row],[Date]],"mmm")</f>
        <v>Apr</v>
      </c>
      <c r="G143" s="7">
        <v>9282</v>
      </c>
      <c r="H143">
        <v>101</v>
      </c>
    </row>
    <row r="144" spans="1:8" x14ac:dyDescent="0.25">
      <c r="A144" t="s">
        <v>46</v>
      </c>
      <c r="B144" t="s">
        <v>21</v>
      </c>
      <c r="C144" t="s">
        <v>11</v>
      </c>
      <c r="D144" s="2">
        <v>44775</v>
      </c>
      <c r="E144" s="1" t="str">
        <f>TEXT(Table1[[#This Row],[Date]],"ddd")</f>
        <v>Tue</v>
      </c>
      <c r="F144" s="1" t="str">
        <f>TEXT(Table1[[#This Row],[Date]],"mmm")</f>
        <v>Aug</v>
      </c>
      <c r="G144" s="7">
        <v>1827</v>
      </c>
      <c r="H144">
        <v>117</v>
      </c>
    </row>
    <row r="145" spans="1:8" x14ac:dyDescent="0.25">
      <c r="A145" t="s">
        <v>12</v>
      </c>
      <c r="B145" t="s">
        <v>21</v>
      </c>
      <c r="C145" t="s">
        <v>45</v>
      </c>
      <c r="D145" s="2">
        <v>44740</v>
      </c>
      <c r="E145" s="1" t="str">
        <f>TEXT(Table1[[#This Row],[Date]],"ddd")</f>
        <v>Tue</v>
      </c>
      <c r="F145" s="1" t="str">
        <f>TEXT(Table1[[#This Row],[Date]],"mmm")</f>
        <v>Jun</v>
      </c>
      <c r="G145" s="7">
        <v>8267</v>
      </c>
      <c r="H145">
        <v>272</v>
      </c>
    </row>
    <row r="146" spans="1:8" x14ac:dyDescent="0.25">
      <c r="A146" t="s">
        <v>55</v>
      </c>
      <c r="B146" t="s">
        <v>15</v>
      </c>
      <c r="C146" t="s">
        <v>30</v>
      </c>
      <c r="D146" s="2">
        <v>44747</v>
      </c>
      <c r="E146" s="1" t="str">
        <f>TEXT(Table1[[#This Row],[Date]],"ddd")</f>
        <v>Tue</v>
      </c>
      <c r="F146" s="1" t="str">
        <f>TEXT(Table1[[#This Row],[Date]],"mmm")</f>
        <v>Jul</v>
      </c>
      <c r="G146" s="7">
        <v>4116</v>
      </c>
      <c r="H146">
        <v>128</v>
      </c>
    </row>
    <row r="147" spans="1:8" x14ac:dyDescent="0.25">
      <c r="A147" t="s">
        <v>24</v>
      </c>
      <c r="B147" t="s">
        <v>21</v>
      </c>
      <c r="C147" t="s">
        <v>52</v>
      </c>
      <c r="D147" s="2">
        <v>44719</v>
      </c>
      <c r="E147" s="1" t="str">
        <f>TEXT(Table1[[#This Row],[Date]],"ddd")</f>
        <v>Tue</v>
      </c>
      <c r="F147" s="1" t="str">
        <f>TEXT(Table1[[#This Row],[Date]],"mmm")</f>
        <v>Jun</v>
      </c>
      <c r="G147" s="7">
        <v>2093</v>
      </c>
      <c r="H147">
        <v>45</v>
      </c>
    </row>
    <row r="148" spans="1:8" x14ac:dyDescent="0.25">
      <c r="A148" t="s">
        <v>23</v>
      </c>
      <c r="B148" t="s">
        <v>21</v>
      </c>
      <c r="C148" t="s">
        <v>16</v>
      </c>
      <c r="D148" s="2">
        <v>44579</v>
      </c>
      <c r="E148" s="1" t="str">
        <f>TEXT(Table1[[#This Row],[Date]],"ddd")</f>
        <v>Tue</v>
      </c>
      <c r="F148" s="1" t="str">
        <f>TEXT(Table1[[#This Row],[Date]],"mmm")</f>
        <v>Jan</v>
      </c>
      <c r="G148" s="7">
        <v>1015</v>
      </c>
      <c r="H148">
        <v>27</v>
      </c>
    </row>
    <row r="149" spans="1:8" x14ac:dyDescent="0.25">
      <c r="A149" t="s">
        <v>23</v>
      </c>
      <c r="B149" t="s">
        <v>15</v>
      </c>
      <c r="C149" t="s">
        <v>56</v>
      </c>
      <c r="D149" s="2">
        <v>44565</v>
      </c>
      <c r="E149" s="1" t="str">
        <f>TEXT(Table1[[#This Row],[Date]],"ddd")</f>
        <v>Tue</v>
      </c>
      <c r="F149" s="1" t="str">
        <f>TEXT(Table1[[#This Row],[Date]],"mmm")</f>
        <v>Jan</v>
      </c>
      <c r="G149" s="7">
        <v>12516</v>
      </c>
      <c r="H149">
        <v>212</v>
      </c>
    </row>
    <row r="150" spans="1:8" x14ac:dyDescent="0.25">
      <c r="A150" t="s">
        <v>43</v>
      </c>
      <c r="B150" t="s">
        <v>15</v>
      </c>
      <c r="C150" t="s">
        <v>18</v>
      </c>
      <c r="D150" s="2">
        <v>44592</v>
      </c>
      <c r="E150" s="1" t="str">
        <f>TEXT(Table1[[#This Row],[Date]],"ddd")</f>
        <v>Mon</v>
      </c>
      <c r="F150" s="1" t="str">
        <f>TEXT(Table1[[#This Row],[Date]],"mmm")</f>
        <v>Jan</v>
      </c>
      <c r="G150" s="7">
        <v>2758</v>
      </c>
      <c r="H150">
        <v>18</v>
      </c>
    </row>
    <row r="151" spans="1:8" x14ac:dyDescent="0.25">
      <c r="A151" t="s">
        <v>49</v>
      </c>
      <c r="B151" t="s">
        <v>10</v>
      </c>
      <c r="C151" t="s">
        <v>47</v>
      </c>
      <c r="D151" s="2">
        <v>44634</v>
      </c>
      <c r="E151" s="1" t="str">
        <f>TEXT(Table1[[#This Row],[Date]],"ddd")</f>
        <v>Mon</v>
      </c>
      <c r="F151" s="1" t="str">
        <f>TEXT(Table1[[#This Row],[Date]],"mmm")</f>
        <v>Mar</v>
      </c>
      <c r="G151" s="7">
        <v>3297</v>
      </c>
      <c r="H151">
        <v>149</v>
      </c>
    </row>
    <row r="152" spans="1:8" x14ac:dyDescent="0.25">
      <c r="A152" t="s">
        <v>50</v>
      </c>
      <c r="B152" t="s">
        <v>15</v>
      </c>
      <c r="C152" t="s">
        <v>58</v>
      </c>
      <c r="D152" s="2">
        <v>44680</v>
      </c>
      <c r="E152" s="1" t="str">
        <f>TEXT(Table1[[#This Row],[Date]],"ddd")</f>
        <v>Fri</v>
      </c>
      <c r="F152" s="1" t="str">
        <f>TEXT(Table1[[#This Row],[Date]],"mmm")</f>
        <v>Apr</v>
      </c>
      <c r="G152" s="7">
        <v>6048</v>
      </c>
      <c r="H152">
        <v>477</v>
      </c>
    </row>
    <row r="153" spans="1:8" x14ac:dyDescent="0.25">
      <c r="A153" t="s">
        <v>17</v>
      </c>
      <c r="B153" t="s">
        <v>10</v>
      </c>
      <c r="C153" t="s">
        <v>16</v>
      </c>
      <c r="D153" s="2">
        <v>44599</v>
      </c>
      <c r="E153" s="1" t="str">
        <f>TEXT(Table1[[#This Row],[Date]],"ddd")</f>
        <v>Mon</v>
      </c>
      <c r="F153" s="1" t="str">
        <f>TEXT(Table1[[#This Row],[Date]],"mmm")</f>
        <v>Feb</v>
      </c>
      <c r="G153" s="7">
        <v>10101</v>
      </c>
      <c r="H153">
        <v>108</v>
      </c>
    </row>
    <row r="154" spans="1:8" x14ac:dyDescent="0.25">
      <c r="A154" t="s">
        <v>41</v>
      </c>
      <c r="B154" t="s">
        <v>7</v>
      </c>
      <c r="C154" t="s">
        <v>35</v>
      </c>
      <c r="D154" s="2">
        <v>44651</v>
      </c>
      <c r="E154" s="1" t="str">
        <f>TEXT(Table1[[#This Row],[Date]],"ddd")</f>
        <v>Thu</v>
      </c>
      <c r="F154" s="1" t="str">
        <f>TEXT(Table1[[#This Row],[Date]],"mmm")</f>
        <v>Mar</v>
      </c>
      <c r="G154" s="7">
        <v>2282</v>
      </c>
      <c r="H154">
        <v>178</v>
      </c>
    </row>
    <row r="155" spans="1:8" x14ac:dyDescent="0.25">
      <c r="A155" t="s">
        <v>33</v>
      </c>
      <c r="B155" t="s">
        <v>10</v>
      </c>
      <c r="C155" t="s">
        <v>57</v>
      </c>
      <c r="D155" s="2">
        <v>44636</v>
      </c>
      <c r="E155" s="1" t="str">
        <f>TEXT(Table1[[#This Row],[Date]],"ddd")</f>
        <v>Wed</v>
      </c>
      <c r="F155" s="1" t="str">
        <f>TEXT(Table1[[#This Row],[Date]],"mmm")</f>
        <v>Mar</v>
      </c>
      <c r="G155" s="7">
        <v>4361</v>
      </c>
      <c r="H155">
        <v>81</v>
      </c>
    </row>
    <row r="156" spans="1:8" x14ac:dyDescent="0.25">
      <c r="A156" t="s">
        <v>31</v>
      </c>
      <c r="B156" t="s">
        <v>7</v>
      </c>
      <c r="C156" t="s">
        <v>30</v>
      </c>
      <c r="D156" s="2">
        <v>44586</v>
      </c>
      <c r="E156" s="1" t="str">
        <f>TEXT(Table1[[#This Row],[Date]],"ddd")</f>
        <v>Tue</v>
      </c>
      <c r="F156" s="1" t="str">
        <f>TEXT(Table1[[#This Row],[Date]],"mmm")</f>
        <v>Jan</v>
      </c>
      <c r="G156" s="7">
        <v>7798</v>
      </c>
      <c r="H156">
        <v>196</v>
      </c>
    </row>
    <row r="157" spans="1:8" x14ac:dyDescent="0.25">
      <c r="A157" t="s">
        <v>9</v>
      </c>
      <c r="B157" t="s">
        <v>10</v>
      </c>
      <c r="C157" t="s">
        <v>56</v>
      </c>
      <c r="D157" s="2">
        <v>44732</v>
      </c>
      <c r="E157" s="1" t="str">
        <f>TEXT(Table1[[#This Row],[Date]],"ddd")</f>
        <v>Mon</v>
      </c>
      <c r="F157" s="1" t="str">
        <f>TEXT(Table1[[#This Row],[Date]],"mmm")</f>
        <v>Jun</v>
      </c>
      <c r="G157" s="7">
        <v>3052</v>
      </c>
      <c r="H157">
        <v>447</v>
      </c>
    </row>
    <row r="158" spans="1:8" x14ac:dyDescent="0.25">
      <c r="A158" t="s">
        <v>12</v>
      </c>
      <c r="B158" t="s">
        <v>7</v>
      </c>
      <c r="C158" t="s">
        <v>20</v>
      </c>
      <c r="D158" s="2">
        <v>44649</v>
      </c>
      <c r="E158" s="1" t="str">
        <f>TEXT(Table1[[#This Row],[Date]],"ddd")</f>
        <v>Tue</v>
      </c>
      <c r="F158" s="1" t="str">
        <f>TEXT(Table1[[#This Row],[Date]],"mmm")</f>
        <v>Mar</v>
      </c>
      <c r="G158" s="7">
        <v>8029</v>
      </c>
      <c r="H158">
        <v>175</v>
      </c>
    </row>
    <row r="159" spans="1:8" x14ac:dyDescent="0.25">
      <c r="A159" t="s">
        <v>38</v>
      </c>
      <c r="B159" t="s">
        <v>15</v>
      </c>
      <c r="C159" t="s">
        <v>27</v>
      </c>
      <c r="D159" s="2">
        <v>44754</v>
      </c>
      <c r="E159" s="1" t="str">
        <f>TEXT(Table1[[#This Row],[Date]],"ddd")</f>
        <v>Tue</v>
      </c>
      <c r="F159" s="1" t="str">
        <f>TEXT(Table1[[#This Row],[Date]],"mmm")</f>
        <v>Jul</v>
      </c>
      <c r="G159" s="7">
        <v>854</v>
      </c>
      <c r="H159">
        <v>136</v>
      </c>
    </row>
    <row r="160" spans="1:8" x14ac:dyDescent="0.25">
      <c r="A160" t="s">
        <v>6</v>
      </c>
      <c r="B160" t="s">
        <v>29</v>
      </c>
      <c r="C160" t="s">
        <v>16</v>
      </c>
      <c r="D160" s="2">
        <v>44753</v>
      </c>
      <c r="E160" s="1" t="str">
        <f>TEXT(Table1[[#This Row],[Date]],"ddd")</f>
        <v>Mon</v>
      </c>
      <c r="F160" s="1" t="str">
        <f>TEXT(Table1[[#This Row],[Date]],"mmm")</f>
        <v>Jul</v>
      </c>
      <c r="G160" s="7">
        <v>5460</v>
      </c>
      <c r="H160">
        <v>138</v>
      </c>
    </row>
    <row r="161" spans="1:8" x14ac:dyDescent="0.25">
      <c r="A161" t="s">
        <v>31</v>
      </c>
      <c r="B161" t="s">
        <v>29</v>
      </c>
      <c r="C161" t="s">
        <v>16</v>
      </c>
      <c r="D161" s="2">
        <v>44580</v>
      </c>
      <c r="E161" s="1" t="str">
        <f>TEXT(Table1[[#This Row],[Date]],"ddd")</f>
        <v>Wed</v>
      </c>
      <c r="F161" s="1" t="str">
        <f>TEXT(Table1[[#This Row],[Date]],"mmm")</f>
        <v>Jan</v>
      </c>
      <c r="G161" s="7">
        <v>3017</v>
      </c>
      <c r="H161">
        <v>184</v>
      </c>
    </row>
    <row r="162" spans="1:8" x14ac:dyDescent="0.25">
      <c r="A162" t="s">
        <v>48</v>
      </c>
      <c r="B162" t="s">
        <v>26</v>
      </c>
      <c r="C162" t="s">
        <v>11</v>
      </c>
      <c r="D162" s="2">
        <v>44656</v>
      </c>
      <c r="E162" s="1" t="str">
        <f>TEXT(Table1[[#This Row],[Date]],"ddd")</f>
        <v>Tue</v>
      </c>
      <c r="F162" s="1" t="str">
        <f>TEXT(Table1[[#This Row],[Date]],"mmm")</f>
        <v>Apr</v>
      </c>
      <c r="G162" s="7">
        <v>8911</v>
      </c>
      <c r="H162">
        <v>82</v>
      </c>
    </row>
    <row r="163" spans="1:8" x14ac:dyDescent="0.25">
      <c r="A163" t="s">
        <v>6</v>
      </c>
      <c r="B163" t="s">
        <v>29</v>
      </c>
      <c r="C163" t="s">
        <v>37</v>
      </c>
      <c r="D163" s="2">
        <v>44613</v>
      </c>
      <c r="E163" s="1" t="str">
        <f>TEXT(Table1[[#This Row],[Date]],"ddd")</f>
        <v>Mon</v>
      </c>
      <c r="F163" s="1" t="str">
        <f>TEXT(Table1[[#This Row],[Date]],"mmm")</f>
        <v>Feb</v>
      </c>
      <c r="G163" s="7">
        <v>7203</v>
      </c>
      <c r="H163">
        <v>12</v>
      </c>
    </row>
    <row r="164" spans="1:8" x14ac:dyDescent="0.25">
      <c r="A164" t="s">
        <v>24</v>
      </c>
      <c r="B164" t="s">
        <v>21</v>
      </c>
      <c r="C164" t="s">
        <v>57</v>
      </c>
      <c r="D164" s="2">
        <v>44701</v>
      </c>
      <c r="E164" s="1" t="str">
        <f>TEXT(Table1[[#This Row],[Date]],"ddd")</f>
        <v>Fri</v>
      </c>
      <c r="F164" s="1" t="str">
        <f>TEXT(Table1[[#This Row],[Date]],"mmm")</f>
        <v>May</v>
      </c>
      <c r="G164" s="7">
        <v>13083</v>
      </c>
      <c r="H164">
        <v>14</v>
      </c>
    </row>
    <row r="165" spans="1:8" x14ac:dyDescent="0.25">
      <c r="A165" t="s">
        <v>28</v>
      </c>
      <c r="B165" t="s">
        <v>15</v>
      </c>
      <c r="C165" t="s">
        <v>37</v>
      </c>
      <c r="D165" s="2">
        <v>44771</v>
      </c>
      <c r="E165" s="1" t="str">
        <f>TEXT(Table1[[#This Row],[Date]],"ddd")</f>
        <v>Fri</v>
      </c>
      <c r="F165" s="1" t="str">
        <f>TEXT(Table1[[#This Row],[Date]],"mmm")</f>
        <v>Jul</v>
      </c>
      <c r="G165" s="7">
        <v>2779</v>
      </c>
      <c r="H165">
        <v>104</v>
      </c>
    </row>
    <row r="166" spans="1:8" x14ac:dyDescent="0.25">
      <c r="A166" t="s">
        <v>25</v>
      </c>
      <c r="B166" t="s">
        <v>26</v>
      </c>
      <c r="C166" t="s">
        <v>42</v>
      </c>
      <c r="D166" s="2">
        <v>44589</v>
      </c>
      <c r="E166" s="1" t="str">
        <f>TEXT(Table1[[#This Row],[Date]],"ddd")</f>
        <v>Fri</v>
      </c>
      <c r="F166" s="1" t="str">
        <f>TEXT(Table1[[#This Row],[Date]],"mmm")</f>
        <v>Jan</v>
      </c>
      <c r="G166" s="7">
        <v>9058</v>
      </c>
      <c r="H166">
        <v>46</v>
      </c>
    </row>
    <row r="167" spans="1:8" x14ac:dyDescent="0.25">
      <c r="A167" t="s">
        <v>33</v>
      </c>
      <c r="B167" t="s">
        <v>7</v>
      </c>
      <c r="C167" t="s">
        <v>57</v>
      </c>
      <c r="D167" s="2">
        <v>44761</v>
      </c>
      <c r="E167" s="1" t="str">
        <f>TEXT(Table1[[#This Row],[Date]],"ddd")</f>
        <v>Tue</v>
      </c>
      <c r="F167" s="1" t="str">
        <f>TEXT(Table1[[#This Row],[Date]],"mmm")</f>
        <v>Jul</v>
      </c>
      <c r="G167" s="7">
        <v>3549</v>
      </c>
      <c r="H167">
        <v>112</v>
      </c>
    </row>
    <row r="168" spans="1:8" x14ac:dyDescent="0.25">
      <c r="A168" t="s">
        <v>28</v>
      </c>
      <c r="B168" t="s">
        <v>21</v>
      </c>
      <c r="C168" t="s">
        <v>45</v>
      </c>
      <c r="D168" s="2">
        <v>44664</v>
      </c>
      <c r="E168" s="1" t="str">
        <f>TEXT(Table1[[#This Row],[Date]],"ddd")</f>
        <v>Wed</v>
      </c>
      <c r="F168" s="1" t="str">
        <f>TEXT(Table1[[#This Row],[Date]],"mmm")</f>
        <v>Apr</v>
      </c>
      <c r="G168" s="7">
        <v>9436</v>
      </c>
      <c r="H168">
        <v>11</v>
      </c>
    </row>
    <row r="169" spans="1:8" x14ac:dyDescent="0.25">
      <c r="A169" t="s">
        <v>36</v>
      </c>
      <c r="B169" t="s">
        <v>10</v>
      </c>
      <c r="C169" t="s">
        <v>13</v>
      </c>
      <c r="D169" s="2">
        <v>44603</v>
      </c>
      <c r="E169" s="1" t="str">
        <f>TEXT(Table1[[#This Row],[Date]],"ddd")</f>
        <v>Fri</v>
      </c>
      <c r="F169" s="1" t="str">
        <f>TEXT(Table1[[#This Row],[Date]],"mmm")</f>
        <v>Feb</v>
      </c>
      <c r="G169" s="7">
        <v>10283</v>
      </c>
      <c r="H169">
        <v>21</v>
      </c>
    </row>
    <row r="170" spans="1:8" x14ac:dyDescent="0.25">
      <c r="A170" t="s">
        <v>36</v>
      </c>
      <c r="B170" t="s">
        <v>21</v>
      </c>
      <c r="C170" t="s">
        <v>37</v>
      </c>
      <c r="D170" s="2">
        <v>44622</v>
      </c>
      <c r="E170" s="1" t="str">
        <f>TEXT(Table1[[#This Row],[Date]],"ddd")</f>
        <v>Wed</v>
      </c>
      <c r="F170" s="1" t="str">
        <f>TEXT(Table1[[#This Row],[Date]],"mmm")</f>
        <v>Mar</v>
      </c>
      <c r="G170" s="7">
        <v>5446</v>
      </c>
      <c r="H170">
        <v>116</v>
      </c>
    </row>
    <row r="171" spans="1:8" x14ac:dyDescent="0.25">
      <c r="A171" t="s">
        <v>55</v>
      </c>
      <c r="B171" t="s">
        <v>15</v>
      </c>
      <c r="C171" t="s">
        <v>44</v>
      </c>
      <c r="D171" s="2">
        <v>44622</v>
      </c>
      <c r="E171" s="1" t="str">
        <f>TEXT(Table1[[#This Row],[Date]],"ddd")</f>
        <v>Wed</v>
      </c>
      <c r="F171" s="1" t="str">
        <f>TEXT(Table1[[#This Row],[Date]],"mmm")</f>
        <v>Mar</v>
      </c>
      <c r="G171" s="7">
        <v>1043</v>
      </c>
      <c r="H171">
        <v>202</v>
      </c>
    </row>
    <row r="172" spans="1:8" x14ac:dyDescent="0.25">
      <c r="A172" t="s">
        <v>9</v>
      </c>
      <c r="B172" t="s">
        <v>26</v>
      </c>
      <c r="C172" t="s">
        <v>18</v>
      </c>
      <c r="D172" s="2">
        <v>44770</v>
      </c>
      <c r="E172" s="1" t="str">
        <f>TEXT(Table1[[#This Row],[Date]],"ddd")</f>
        <v>Thu</v>
      </c>
      <c r="F172" s="1" t="str">
        <f>TEXT(Table1[[#This Row],[Date]],"mmm")</f>
        <v>Jul</v>
      </c>
      <c r="G172" s="7">
        <v>12586</v>
      </c>
      <c r="H172">
        <v>6</v>
      </c>
    </row>
    <row r="173" spans="1:8" x14ac:dyDescent="0.25">
      <c r="A173" t="s">
        <v>49</v>
      </c>
      <c r="B173" t="s">
        <v>10</v>
      </c>
      <c r="C173" t="s">
        <v>20</v>
      </c>
      <c r="D173" s="2">
        <v>44568</v>
      </c>
      <c r="E173" s="1" t="str">
        <f>TEXT(Table1[[#This Row],[Date]],"ddd")</f>
        <v>Fri</v>
      </c>
      <c r="F173" s="1" t="str">
        <f>TEXT(Table1[[#This Row],[Date]],"mmm")</f>
        <v>Jan</v>
      </c>
      <c r="G173" s="7">
        <v>1687</v>
      </c>
      <c r="H173">
        <v>520</v>
      </c>
    </row>
    <row r="174" spans="1:8" x14ac:dyDescent="0.25">
      <c r="A174" t="s">
        <v>23</v>
      </c>
      <c r="B174" t="s">
        <v>7</v>
      </c>
      <c r="C174" t="s">
        <v>44</v>
      </c>
      <c r="D174" s="2">
        <v>44663</v>
      </c>
      <c r="E174" s="1" t="str">
        <f>TEXT(Table1[[#This Row],[Date]],"ddd")</f>
        <v>Tue</v>
      </c>
      <c r="F174" s="1" t="str">
        <f>TEXT(Table1[[#This Row],[Date]],"mmm")</f>
        <v>Apr</v>
      </c>
      <c r="G174" s="7">
        <v>5299</v>
      </c>
      <c r="H174">
        <v>167</v>
      </c>
    </row>
    <row r="175" spans="1:8" x14ac:dyDescent="0.25">
      <c r="A175" t="s">
        <v>9</v>
      </c>
      <c r="B175" t="s">
        <v>29</v>
      </c>
      <c r="C175" t="s">
        <v>47</v>
      </c>
      <c r="D175" s="2">
        <v>44739</v>
      </c>
      <c r="E175" s="1" t="str">
        <f>TEXT(Table1[[#This Row],[Date]],"ddd")</f>
        <v>Mon</v>
      </c>
      <c r="F175" s="1" t="str">
        <f>TEXT(Table1[[#This Row],[Date]],"mmm")</f>
        <v>Jun</v>
      </c>
      <c r="G175" s="7">
        <v>3213</v>
      </c>
      <c r="H175">
        <v>72</v>
      </c>
    </row>
    <row r="176" spans="1:8" x14ac:dyDescent="0.25">
      <c r="A176" t="s">
        <v>6</v>
      </c>
      <c r="B176" t="s">
        <v>15</v>
      </c>
      <c r="C176" t="s">
        <v>22</v>
      </c>
      <c r="D176" s="2">
        <v>44575</v>
      </c>
      <c r="E176" s="1" t="str">
        <f>TEXT(Table1[[#This Row],[Date]],"ddd")</f>
        <v>Fri</v>
      </c>
      <c r="F176" s="1" t="str">
        <f>TEXT(Table1[[#This Row],[Date]],"mmm")</f>
        <v>Jan</v>
      </c>
      <c r="G176" s="7">
        <v>5194</v>
      </c>
      <c r="H176">
        <v>418</v>
      </c>
    </row>
    <row r="177" spans="1:8" x14ac:dyDescent="0.25">
      <c r="A177" t="s">
        <v>31</v>
      </c>
      <c r="B177" t="s">
        <v>7</v>
      </c>
      <c r="C177" t="s">
        <v>56</v>
      </c>
      <c r="D177" s="2">
        <v>44599</v>
      </c>
      <c r="E177" s="1" t="str">
        <f>TEXT(Table1[[#This Row],[Date]],"ddd")</f>
        <v>Mon</v>
      </c>
      <c r="F177" s="1" t="str">
        <f>TEXT(Table1[[#This Row],[Date]],"mmm")</f>
        <v>Feb</v>
      </c>
      <c r="G177" s="7">
        <v>4753</v>
      </c>
      <c r="H177">
        <v>389</v>
      </c>
    </row>
    <row r="178" spans="1:8" x14ac:dyDescent="0.25">
      <c r="A178" t="s">
        <v>6</v>
      </c>
      <c r="B178" t="s">
        <v>15</v>
      </c>
      <c r="C178" t="s">
        <v>27</v>
      </c>
      <c r="D178" s="2">
        <v>44643</v>
      </c>
      <c r="E178" s="1" t="str">
        <f>TEXT(Table1[[#This Row],[Date]],"ddd")</f>
        <v>Wed</v>
      </c>
      <c r="F178" s="1" t="str">
        <f>TEXT(Table1[[#This Row],[Date]],"mmm")</f>
        <v>Mar</v>
      </c>
      <c r="G178" s="7">
        <v>13706</v>
      </c>
      <c r="H178">
        <v>26</v>
      </c>
    </row>
    <row r="179" spans="1:8" x14ac:dyDescent="0.25">
      <c r="A179" t="s">
        <v>33</v>
      </c>
      <c r="B179" t="s">
        <v>10</v>
      </c>
      <c r="C179" t="s">
        <v>13</v>
      </c>
      <c r="D179" s="2">
        <v>44571</v>
      </c>
      <c r="E179" s="1" t="str">
        <f>TEXT(Table1[[#This Row],[Date]],"ddd")</f>
        <v>Mon</v>
      </c>
      <c r="F179" s="1" t="str">
        <f>TEXT(Table1[[#This Row],[Date]],"mmm")</f>
        <v>Jan</v>
      </c>
      <c r="G179" s="7">
        <v>6489</v>
      </c>
      <c r="H179">
        <v>146</v>
      </c>
    </row>
    <row r="180" spans="1:8" x14ac:dyDescent="0.25">
      <c r="A180" t="s">
        <v>17</v>
      </c>
      <c r="B180" t="s">
        <v>7</v>
      </c>
      <c r="C180" t="s">
        <v>52</v>
      </c>
      <c r="D180" s="2">
        <v>44637</v>
      </c>
      <c r="E180" s="1" t="str">
        <f>TEXT(Table1[[#This Row],[Date]],"ddd")</f>
        <v>Thu</v>
      </c>
      <c r="F180" s="1" t="str">
        <f>TEXT(Table1[[#This Row],[Date]],"mmm")</f>
        <v>Mar</v>
      </c>
      <c r="G180" s="7">
        <v>9324</v>
      </c>
      <c r="H180">
        <v>41</v>
      </c>
    </row>
    <row r="181" spans="1:8" x14ac:dyDescent="0.25">
      <c r="A181" t="s">
        <v>12</v>
      </c>
      <c r="B181" t="s">
        <v>26</v>
      </c>
      <c r="C181" t="s">
        <v>39</v>
      </c>
      <c r="D181" s="2">
        <v>44582</v>
      </c>
      <c r="E181" s="1" t="str">
        <f>TEXT(Table1[[#This Row],[Date]],"ddd")</f>
        <v>Fri</v>
      </c>
      <c r="F181" s="1" t="str">
        <f>TEXT(Table1[[#This Row],[Date]],"mmm")</f>
        <v>Jan</v>
      </c>
      <c r="G181" s="7">
        <v>10829</v>
      </c>
      <c r="H181">
        <v>54</v>
      </c>
    </row>
    <row r="182" spans="1:8" x14ac:dyDescent="0.25">
      <c r="A182" t="s">
        <v>25</v>
      </c>
      <c r="B182" t="s">
        <v>15</v>
      </c>
      <c r="C182" t="s">
        <v>44</v>
      </c>
      <c r="D182" s="2">
        <v>44746</v>
      </c>
      <c r="E182" s="1" t="str">
        <f>TEXT(Table1[[#This Row],[Date]],"ddd")</f>
        <v>Mon</v>
      </c>
      <c r="F182" s="1" t="str">
        <f>TEXT(Table1[[#This Row],[Date]],"mmm")</f>
        <v>Jul</v>
      </c>
      <c r="G182" s="7">
        <v>8113</v>
      </c>
      <c r="H182">
        <v>370</v>
      </c>
    </row>
    <row r="183" spans="1:8" x14ac:dyDescent="0.25">
      <c r="A183" t="s">
        <v>41</v>
      </c>
      <c r="B183" t="s">
        <v>29</v>
      </c>
      <c r="C183" t="s">
        <v>13</v>
      </c>
      <c r="D183" s="2">
        <v>44746</v>
      </c>
      <c r="E183" s="1" t="str">
        <f>TEXT(Table1[[#This Row],[Date]],"ddd")</f>
        <v>Mon</v>
      </c>
      <c r="F183" s="1" t="str">
        <f>TEXT(Table1[[#This Row],[Date]],"mmm")</f>
        <v>Jul</v>
      </c>
      <c r="G183" s="7">
        <v>3269</v>
      </c>
      <c r="H183">
        <v>176</v>
      </c>
    </row>
    <row r="184" spans="1:8" x14ac:dyDescent="0.25">
      <c r="A184" t="s">
        <v>54</v>
      </c>
      <c r="B184" t="s">
        <v>26</v>
      </c>
      <c r="C184" t="s">
        <v>45</v>
      </c>
      <c r="D184" s="2">
        <v>44783</v>
      </c>
      <c r="E184" s="1" t="str">
        <f>TEXT(Table1[[#This Row],[Date]],"ddd")</f>
        <v>Wed</v>
      </c>
      <c r="F184" s="1" t="str">
        <f>TEXT(Table1[[#This Row],[Date]],"mmm")</f>
        <v>Aug</v>
      </c>
      <c r="G184" s="7">
        <v>273</v>
      </c>
      <c r="H184">
        <v>210</v>
      </c>
    </row>
    <row r="185" spans="1:8" x14ac:dyDescent="0.25">
      <c r="A185" t="s">
        <v>43</v>
      </c>
      <c r="B185" t="s">
        <v>15</v>
      </c>
      <c r="C185" t="s">
        <v>22</v>
      </c>
      <c r="D185" s="2">
        <v>44652</v>
      </c>
      <c r="E185" s="1" t="str">
        <f>TEXT(Table1[[#This Row],[Date]],"ddd")</f>
        <v>Fri</v>
      </c>
      <c r="F185" s="1" t="str">
        <f>TEXT(Table1[[#This Row],[Date]],"mmm")</f>
        <v>Apr</v>
      </c>
      <c r="G185" s="7">
        <v>7287</v>
      </c>
      <c r="H185">
        <v>12</v>
      </c>
    </row>
    <row r="186" spans="1:8" x14ac:dyDescent="0.25">
      <c r="A186" t="s">
        <v>12</v>
      </c>
      <c r="B186" t="s">
        <v>10</v>
      </c>
      <c r="C186" t="s">
        <v>51</v>
      </c>
      <c r="D186" s="2">
        <v>44614</v>
      </c>
      <c r="E186" s="1" t="str">
        <f>TEXT(Table1[[#This Row],[Date]],"ddd")</f>
        <v>Tue</v>
      </c>
      <c r="F186" s="1" t="str">
        <f>TEXT(Table1[[#This Row],[Date]],"mmm")</f>
        <v>Feb</v>
      </c>
      <c r="G186" s="7">
        <v>2583</v>
      </c>
      <c r="H186">
        <v>159</v>
      </c>
    </row>
    <row r="187" spans="1:8" x14ac:dyDescent="0.25">
      <c r="A187" t="s">
        <v>50</v>
      </c>
      <c r="B187" t="s">
        <v>7</v>
      </c>
      <c r="C187" t="s">
        <v>44</v>
      </c>
      <c r="D187" s="2">
        <v>44564</v>
      </c>
      <c r="E187" s="1" t="str">
        <f>TEXT(Table1[[#This Row],[Date]],"ddd")</f>
        <v>Mon</v>
      </c>
      <c r="F187" s="1" t="str">
        <f>TEXT(Table1[[#This Row],[Date]],"mmm")</f>
        <v>Jan</v>
      </c>
      <c r="G187" s="7">
        <v>9982</v>
      </c>
      <c r="H187">
        <v>187</v>
      </c>
    </row>
    <row r="188" spans="1:8" x14ac:dyDescent="0.25">
      <c r="A188" t="s">
        <v>31</v>
      </c>
      <c r="B188" t="s">
        <v>10</v>
      </c>
      <c r="C188" t="s">
        <v>32</v>
      </c>
      <c r="D188" s="2">
        <v>44712</v>
      </c>
      <c r="E188" s="1" t="str">
        <f>TEXT(Table1[[#This Row],[Date]],"ddd")</f>
        <v>Tue</v>
      </c>
      <c r="F188" s="1" t="str">
        <f>TEXT(Table1[[#This Row],[Date]],"mmm")</f>
        <v>May</v>
      </c>
      <c r="G188" s="7">
        <v>4795</v>
      </c>
      <c r="H188">
        <v>233</v>
      </c>
    </row>
    <row r="189" spans="1:8" x14ac:dyDescent="0.25">
      <c r="A189" t="s">
        <v>54</v>
      </c>
      <c r="B189" t="s">
        <v>7</v>
      </c>
      <c r="C189" t="s">
        <v>18</v>
      </c>
      <c r="D189" s="2">
        <v>44564</v>
      </c>
      <c r="E189" s="1" t="str">
        <f>TEXT(Table1[[#This Row],[Date]],"ddd")</f>
        <v>Mon</v>
      </c>
      <c r="F189" s="1" t="str">
        <f>TEXT(Table1[[#This Row],[Date]],"mmm")</f>
        <v>Jan</v>
      </c>
      <c r="G189" s="7">
        <v>9310</v>
      </c>
      <c r="H189">
        <v>282</v>
      </c>
    </row>
    <row r="190" spans="1:8" x14ac:dyDescent="0.25">
      <c r="A190" t="s">
        <v>40</v>
      </c>
      <c r="B190" t="s">
        <v>21</v>
      </c>
      <c r="C190" t="s">
        <v>57</v>
      </c>
      <c r="D190" s="2">
        <v>44588</v>
      </c>
      <c r="E190" s="1" t="str">
        <f>TEXT(Table1[[#This Row],[Date]],"ddd")</f>
        <v>Thu</v>
      </c>
      <c r="F190" s="1" t="str">
        <f>TEXT(Table1[[#This Row],[Date]],"mmm")</f>
        <v>Jan</v>
      </c>
      <c r="G190" s="7">
        <v>497</v>
      </c>
      <c r="H190">
        <v>475</v>
      </c>
    </row>
    <row r="191" spans="1:8" x14ac:dyDescent="0.25">
      <c r="A191" t="s">
        <v>25</v>
      </c>
      <c r="B191" t="s">
        <v>7</v>
      </c>
      <c r="C191" t="s">
        <v>22</v>
      </c>
      <c r="D191" s="2">
        <v>44589</v>
      </c>
      <c r="E191" s="1" t="str">
        <f>TEXT(Table1[[#This Row],[Date]],"ddd")</f>
        <v>Fri</v>
      </c>
      <c r="F191" s="1" t="str">
        <f>TEXT(Table1[[#This Row],[Date]],"mmm")</f>
        <v>Jan</v>
      </c>
      <c r="G191" s="7">
        <v>581</v>
      </c>
      <c r="H191">
        <v>65</v>
      </c>
    </row>
    <row r="192" spans="1:8" x14ac:dyDescent="0.25">
      <c r="A192" t="s">
        <v>38</v>
      </c>
      <c r="B192" t="s">
        <v>15</v>
      </c>
      <c r="C192" t="s">
        <v>35</v>
      </c>
      <c r="D192" s="2">
        <v>44740</v>
      </c>
      <c r="E192" s="1" t="str">
        <f>TEXT(Table1[[#This Row],[Date]],"ddd")</f>
        <v>Tue</v>
      </c>
      <c r="F192" s="1" t="str">
        <f>TEXT(Table1[[#This Row],[Date]],"mmm")</f>
        <v>Jun</v>
      </c>
      <c r="G192" s="7">
        <v>3472</v>
      </c>
      <c r="H192">
        <v>311</v>
      </c>
    </row>
    <row r="193" spans="1:8" x14ac:dyDescent="0.25">
      <c r="A193" t="s">
        <v>40</v>
      </c>
      <c r="B193" t="s">
        <v>7</v>
      </c>
      <c r="C193" t="s">
        <v>52</v>
      </c>
      <c r="D193" s="2">
        <v>44622</v>
      </c>
      <c r="E193" s="1" t="str">
        <f>TEXT(Table1[[#This Row],[Date]],"ddd")</f>
        <v>Wed</v>
      </c>
      <c r="F193" s="1" t="str">
        <f>TEXT(Table1[[#This Row],[Date]],"mmm")</f>
        <v>Mar</v>
      </c>
      <c r="G193" s="7">
        <v>4333</v>
      </c>
      <c r="H193">
        <v>43</v>
      </c>
    </row>
    <row r="194" spans="1:8" x14ac:dyDescent="0.25">
      <c r="A194" t="s">
        <v>46</v>
      </c>
      <c r="B194" t="s">
        <v>15</v>
      </c>
      <c r="C194" t="s">
        <v>20</v>
      </c>
      <c r="D194" s="2">
        <v>44708</v>
      </c>
      <c r="E194" s="1" t="str">
        <f>TEXT(Table1[[#This Row],[Date]],"ddd")</f>
        <v>Fri</v>
      </c>
      <c r="F194" s="1" t="str">
        <f>TEXT(Table1[[#This Row],[Date]],"mmm")</f>
        <v>May</v>
      </c>
      <c r="G194" s="7">
        <v>3325</v>
      </c>
      <c r="H194">
        <v>26</v>
      </c>
    </row>
    <row r="195" spans="1:8" x14ac:dyDescent="0.25">
      <c r="A195" t="s">
        <v>43</v>
      </c>
      <c r="B195" t="s">
        <v>26</v>
      </c>
      <c r="C195" t="s">
        <v>47</v>
      </c>
      <c r="D195" s="2">
        <v>44742</v>
      </c>
      <c r="E195" s="1" t="str">
        <f>TEXT(Table1[[#This Row],[Date]],"ddd")</f>
        <v>Thu</v>
      </c>
      <c r="F195" s="1" t="str">
        <f>TEXT(Table1[[#This Row],[Date]],"mmm")</f>
        <v>Jun</v>
      </c>
      <c r="G195" s="7">
        <v>11718</v>
      </c>
      <c r="H195">
        <v>84</v>
      </c>
    </row>
    <row r="196" spans="1:8" x14ac:dyDescent="0.25">
      <c r="A196" t="s">
        <v>25</v>
      </c>
      <c r="B196" t="s">
        <v>29</v>
      </c>
      <c r="C196" t="s">
        <v>13</v>
      </c>
      <c r="D196" s="2">
        <v>44719</v>
      </c>
      <c r="E196" s="1" t="str">
        <f>TEXT(Table1[[#This Row],[Date]],"ddd")</f>
        <v>Tue</v>
      </c>
      <c r="F196" s="1" t="str">
        <f>TEXT(Table1[[#This Row],[Date]],"mmm")</f>
        <v>Jun</v>
      </c>
      <c r="G196" s="7">
        <v>2100</v>
      </c>
      <c r="H196">
        <v>78</v>
      </c>
    </row>
    <row r="197" spans="1:8" x14ac:dyDescent="0.25">
      <c r="A197" t="s">
        <v>41</v>
      </c>
      <c r="B197" t="s">
        <v>26</v>
      </c>
      <c r="C197" t="s">
        <v>58</v>
      </c>
      <c r="D197" s="2">
        <v>44693</v>
      </c>
      <c r="E197" s="1" t="str">
        <f>TEXT(Table1[[#This Row],[Date]],"ddd")</f>
        <v>Thu</v>
      </c>
      <c r="F197" s="1" t="str">
        <f>TEXT(Table1[[#This Row],[Date]],"mmm")</f>
        <v>May</v>
      </c>
      <c r="G197" s="7">
        <v>4018</v>
      </c>
      <c r="H197">
        <v>100</v>
      </c>
    </row>
    <row r="198" spans="1:8" x14ac:dyDescent="0.25">
      <c r="A198" t="s">
        <v>25</v>
      </c>
      <c r="B198" t="s">
        <v>21</v>
      </c>
      <c r="C198" t="s">
        <v>51</v>
      </c>
      <c r="D198" s="2">
        <v>44771</v>
      </c>
      <c r="E198" s="1" t="str">
        <f>TEXT(Table1[[#This Row],[Date]],"ddd")</f>
        <v>Fri</v>
      </c>
      <c r="F198" s="1" t="str">
        <f>TEXT(Table1[[#This Row],[Date]],"mmm")</f>
        <v>Jul</v>
      </c>
      <c r="G198" s="7">
        <v>6468</v>
      </c>
      <c r="H198">
        <v>66</v>
      </c>
    </row>
    <row r="199" spans="1:8" x14ac:dyDescent="0.25">
      <c r="A199" t="s">
        <v>43</v>
      </c>
      <c r="B199" t="s">
        <v>7</v>
      </c>
      <c r="C199" t="s">
        <v>44</v>
      </c>
      <c r="D199" s="2">
        <v>44776</v>
      </c>
      <c r="E199" s="1" t="str">
        <f>TEXT(Table1[[#This Row],[Date]],"ddd")</f>
        <v>Wed</v>
      </c>
      <c r="F199" s="1" t="str">
        <f>TEXT(Table1[[#This Row],[Date]],"mmm")</f>
        <v>Aug</v>
      </c>
      <c r="G199" s="7">
        <v>7238</v>
      </c>
      <c r="H199">
        <v>265</v>
      </c>
    </row>
    <row r="200" spans="1:8" x14ac:dyDescent="0.25">
      <c r="A200" t="s">
        <v>25</v>
      </c>
      <c r="B200" t="s">
        <v>10</v>
      </c>
      <c r="C200" t="s">
        <v>56</v>
      </c>
      <c r="D200" s="2">
        <v>44791</v>
      </c>
      <c r="E200" s="1" t="str">
        <f>TEXT(Table1[[#This Row],[Date]],"ddd")</f>
        <v>Thu</v>
      </c>
      <c r="F200" s="1" t="str">
        <f>TEXT(Table1[[#This Row],[Date]],"mmm")</f>
        <v>Aug</v>
      </c>
      <c r="G200" s="7">
        <v>6454</v>
      </c>
      <c r="H200">
        <v>141</v>
      </c>
    </row>
    <row r="201" spans="1:8" x14ac:dyDescent="0.25">
      <c r="A201" t="s">
        <v>9</v>
      </c>
      <c r="B201" t="s">
        <v>21</v>
      </c>
      <c r="C201" t="s">
        <v>16</v>
      </c>
      <c r="D201" s="2">
        <v>44726</v>
      </c>
      <c r="E201" s="1" t="str">
        <f>TEXT(Table1[[#This Row],[Date]],"ddd")</f>
        <v>Tue</v>
      </c>
      <c r="F201" s="1" t="str">
        <f>TEXT(Table1[[#This Row],[Date]],"mmm")</f>
        <v>Jun</v>
      </c>
      <c r="G201" s="7">
        <v>3115</v>
      </c>
      <c r="H201">
        <v>42</v>
      </c>
    </row>
    <row r="202" spans="1:8" x14ac:dyDescent="0.25">
      <c r="A202" t="s">
        <v>34</v>
      </c>
      <c r="B202" t="s">
        <v>7</v>
      </c>
      <c r="C202" t="s">
        <v>44</v>
      </c>
      <c r="D202" s="2">
        <v>44742</v>
      </c>
      <c r="E202" s="1" t="str">
        <f>TEXT(Table1[[#This Row],[Date]],"ddd")</f>
        <v>Thu</v>
      </c>
      <c r="F202" s="1" t="str">
        <f>TEXT(Table1[[#This Row],[Date]],"mmm")</f>
        <v>Jun</v>
      </c>
      <c r="G202" s="7">
        <v>6475</v>
      </c>
      <c r="H202">
        <v>76</v>
      </c>
    </row>
    <row r="203" spans="1:8" x14ac:dyDescent="0.25">
      <c r="A203" t="s">
        <v>50</v>
      </c>
      <c r="B203" t="s">
        <v>21</v>
      </c>
      <c r="C203" t="s">
        <v>8</v>
      </c>
      <c r="D203" s="2">
        <v>44725</v>
      </c>
      <c r="E203" s="1" t="str">
        <f>TEXT(Table1[[#This Row],[Date]],"ddd")</f>
        <v>Mon</v>
      </c>
      <c r="F203" s="1" t="str">
        <f>TEXT(Table1[[#This Row],[Date]],"mmm")</f>
        <v>Jun</v>
      </c>
      <c r="G203" s="7">
        <v>1162</v>
      </c>
      <c r="H203">
        <v>190</v>
      </c>
    </row>
    <row r="204" spans="1:8" x14ac:dyDescent="0.25">
      <c r="A204" t="s">
        <v>55</v>
      </c>
      <c r="B204" t="s">
        <v>7</v>
      </c>
      <c r="C204" t="s">
        <v>27</v>
      </c>
      <c r="D204" s="2">
        <v>44678</v>
      </c>
      <c r="E204" s="1" t="str">
        <f>TEXT(Table1[[#This Row],[Date]],"ddd")</f>
        <v>Wed</v>
      </c>
      <c r="F204" s="1" t="str">
        <f>TEXT(Table1[[#This Row],[Date]],"mmm")</f>
        <v>Apr</v>
      </c>
      <c r="G204" s="7">
        <v>14238</v>
      </c>
      <c r="H204">
        <v>54</v>
      </c>
    </row>
    <row r="205" spans="1:8" x14ac:dyDescent="0.25">
      <c r="A205" t="s">
        <v>14</v>
      </c>
      <c r="B205" t="s">
        <v>15</v>
      </c>
      <c r="C205" t="s">
        <v>44</v>
      </c>
      <c r="D205" s="2">
        <v>44769</v>
      </c>
      <c r="E205" s="1" t="str">
        <f>TEXT(Table1[[#This Row],[Date]],"ddd")</f>
        <v>Wed</v>
      </c>
      <c r="F205" s="1" t="str">
        <f>TEXT(Table1[[#This Row],[Date]],"mmm")</f>
        <v>Jul</v>
      </c>
      <c r="G205" s="7">
        <v>3472</v>
      </c>
      <c r="H205">
        <v>32</v>
      </c>
    </row>
    <row r="206" spans="1:8" x14ac:dyDescent="0.25">
      <c r="A206" t="s">
        <v>28</v>
      </c>
      <c r="B206" t="s">
        <v>29</v>
      </c>
      <c r="C206" t="s">
        <v>11</v>
      </c>
      <c r="D206" s="2">
        <v>44671</v>
      </c>
      <c r="E206" s="1" t="str">
        <f>TEXT(Table1[[#This Row],[Date]],"ddd")</f>
        <v>Wed</v>
      </c>
      <c r="F206" s="1" t="str">
        <f>TEXT(Table1[[#This Row],[Date]],"mmm")</f>
        <v>Apr</v>
      </c>
      <c r="G206" s="7">
        <v>1428</v>
      </c>
      <c r="H206">
        <v>424</v>
      </c>
    </row>
    <row r="207" spans="1:8" x14ac:dyDescent="0.25">
      <c r="A207" t="s">
        <v>24</v>
      </c>
      <c r="B207" t="s">
        <v>10</v>
      </c>
      <c r="C207" t="s">
        <v>39</v>
      </c>
      <c r="D207" s="2">
        <v>44565</v>
      </c>
      <c r="E207" s="1" t="str">
        <f>TEXT(Table1[[#This Row],[Date]],"ddd")</f>
        <v>Tue</v>
      </c>
      <c r="F207" s="1" t="str">
        <f>TEXT(Table1[[#This Row],[Date]],"mmm")</f>
        <v>Jan</v>
      </c>
      <c r="G207" s="7">
        <v>8064</v>
      </c>
      <c r="H207">
        <v>134</v>
      </c>
    </row>
    <row r="208" spans="1:8" x14ac:dyDescent="0.25">
      <c r="A208" t="s">
        <v>55</v>
      </c>
      <c r="B208" t="s">
        <v>15</v>
      </c>
      <c r="C208" t="s">
        <v>8</v>
      </c>
      <c r="D208" s="2">
        <v>44613</v>
      </c>
      <c r="E208" s="1" t="str">
        <f>TEXT(Table1[[#This Row],[Date]],"ddd")</f>
        <v>Mon</v>
      </c>
      <c r="F208" s="1" t="str">
        <f>TEXT(Table1[[#This Row],[Date]],"mmm")</f>
        <v>Feb</v>
      </c>
      <c r="G208" s="7">
        <v>9660</v>
      </c>
      <c r="H208">
        <v>92</v>
      </c>
    </row>
    <row r="209" spans="1:8" x14ac:dyDescent="0.25">
      <c r="A209" t="s">
        <v>31</v>
      </c>
      <c r="B209" t="s">
        <v>15</v>
      </c>
      <c r="C209" t="s">
        <v>44</v>
      </c>
      <c r="D209" s="2">
        <v>44566</v>
      </c>
      <c r="E209" s="1" t="str">
        <f>TEXT(Table1[[#This Row],[Date]],"ddd")</f>
        <v>Wed</v>
      </c>
      <c r="F209" s="1" t="str">
        <f>TEXT(Table1[[#This Row],[Date]],"mmm")</f>
        <v>Jan</v>
      </c>
      <c r="G209" s="7">
        <v>7357</v>
      </c>
      <c r="H209">
        <v>48</v>
      </c>
    </row>
    <row r="210" spans="1:8" x14ac:dyDescent="0.25">
      <c r="A210" t="s">
        <v>34</v>
      </c>
      <c r="B210" t="s">
        <v>10</v>
      </c>
      <c r="C210" t="s">
        <v>32</v>
      </c>
      <c r="D210" s="2">
        <v>44757</v>
      </c>
      <c r="E210" s="1" t="str">
        <f>TEXT(Table1[[#This Row],[Date]],"ddd")</f>
        <v>Fri</v>
      </c>
      <c r="F210" s="1" t="str">
        <f>TEXT(Table1[[#This Row],[Date]],"mmm")</f>
        <v>Jul</v>
      </c>
      <c r="G210" s="7">
        <v>6055</v>
      </c>
      <c r="H210">
        <v>46</v>
      </c>
    </row>
    <row r="211" spans="1:8" x14ac:dyDescent="0.25">
      <c r="A211" t="s">
        <v>23</v>
      </c>
      <c r="B211" t="s">
        <v>15</v>
      </c>
      <c r="C211" t="s">
        <v>52</v>
      </c>
      <c r="D211" s="2">
        <v>44706</v>
      </c>
      <c r="E211" s="1" t="str">
        <f>TEXT(Table1[[#This Row],[Date]],"ddd")</f>
        <v>Wed</v>
      </c>
      <c r="F211" s="1" t="str">
        <f>TEXT(Table1[[#This Row],[Date]],"mmm")</f>
        <v>May</v>
      </c>
      <c r="G211" s="7">
        <v>5124</v>
      </c>
      <c r="H211">
        <v>62</v>
      </c>
    </row>
    <row r="212" spans="1:8" x14ac:dyDescent="0.25">
      <c r="A212" t="s">
        <v>31</v>
      </c>
      <c r="B212" t="s">
        <v>29</v>
      </c>
      <c r="C212" t="s">
        <v>30</v>
      </c>
      <c r="D212" s="2">
        <v>44671</v>
      </c>
      <c r="E212" s="1" t="str">
        <f>TEXT(Table1[[#This Row],[Date]],"ddd")</f>
        <v>Wed</v>
      </c>
      <c r="F212" s="1" t="str">
        <f>TEXT(Table1[[#This Row],[Date]],"mmm")</f>
        <v>Apr</v>
      </c>
      <c r="G212" s="7">
        <v>3479</v>
      </c>
      <c r="H212">
        <v>358</v>
      </c>
    </row>
    <row r="213" spans="1:8" x14ac:dyDescent="0.25">
      <c r="A213" t="s">
        <v>12</v>
      </c>
      <c r="B213" t="s">
        <v>26</v>
      </c>
      <c r="C213" t="s">
        <v>18</v>
      </c>
      <c r="D213" s="2">
        <v>44714</v>
      </c>
      <c r="E213" s="1" t="str">
        <f>TEXT(Table1[[#This Row],[Date]],"ddd")</f>
        <v>Thu</v>
      </c>
      <c r="F213" s="1" t="str">
        <f>TEXT(Table1[[#This Row],[Date]],"mmm")</f>
        <v>Jun</v>
      </c>
      <c r="G213" s="7">
        <v>784</v>
      </c>
      <c r="H213">
        <v>249</v>
      </c>
    </row>
    <row r="214" spans="1:8" x14ac:dyDescent="0.25">
      <c r="A214" t="s">
        <v>33</v>
      </c>
      <c r="B214" t="s">
        <v>7</v>
      </c>
      <c r="C214" t="s">
        <v>16</v>
      </c>
      <c r="D214" s="2">
        <v>44694</v>
      </c>
      <c r="E214" s="1" t="str">
        <f>TEXT(Table1[[#This Row],[Date]],"ddd")</f>
        <v>Fri</v>
      </c>
      <c r="F214" s="1" t="str">
        <f>TEXT(Table1[[#This Row],[Date]],"mmm")</f>
        <v>May</v>
      </c>
      <c r="G214" s="7">
        <v>18991</v>
      </c>
      <c r="H214">
        <v>88</v>
      </c>
    </row>
    <row r="215" spans="1:8" x14ac:dyDescent="0.25">
      <c r="A215" t="s">
        <v>34</v>
      </c>
      <c r="B215" t="s">
        <v>21</v>
      </c>
      <c r="C215" t="s">
        <v>56</v>
      </c>
      <c r="D215" s="2">
        <v>44776</v>
      </c>
      <c r="E215" s="1" t="str">
        <f>TEXT(Table1[[#This Row],[Date]],"ddd")</f>
        <v>Wed</v>
      </c>
      <c r="F215" s="1" t="str">
        <f>TEXT(Table1[[#This Row],[Date]],"mmm")</f>
        <v>Aug</v>
      </c>
      <c r="G215" s="7">
        <v>1372</v>
      </c>
      <c r="H215">
        <v>144</v>
      </c>
    </row>
    <row r="216" spans="1:8" x14ac:dyDescent="0.25">
      <c r="A216" t="s">
        <v>34</v>
      </c>
      <c r="B216" t="s">
        <v>15</v>
      </c>
      <c r="C216" t="s">
        <v>37</v>
      </c>
      <c r="D216" s="2">
        <v>44706</v>
      </c>
      <c r="E216" s="1" t="str">
        <f>TEXT(Table1[[#This Row],[Date]],"ddd")</f>
        <v>Wed</v>
      </c>
      <c r="F216" s="1" t="str">
        <f>TEXT(Table1[[#This Row],[Date]],"mmm")</f>
        <v>May</v>
      </c>
      <c r="G216" s="7">
        <v>735</v>
      </c>
      <c r="H216">
        <v>390</v>
      </c>
    </row>
    <row r="217" spans="1:8" x14ac:dyDescent="0.25">
      <c r="A217" t="s">
        <v>9</v>
      </c>
      <c r="B217" t="s">
        <v>7</v>
      </c>
      <c r="C217" t="s">
        <v>51</v>
      </c>
      <c r="D217" s="2">
        <v>44636</v>
      </c>
      <c r="E217" s="1" t="str">
        <f>TEXT(Table1[[#This Row],[Date]],"ddd")</f>
        <v>Wed</v>
      </c>
      <c r="F217" s="1" t="str">
        <f>TEXT(Table1[[#This Row],[Date]],"mmm")</f>
        <v>Mar</v>
      </c>
      <c r="G217" s="7">
        <v>6538</v>
      </c>
      <c r="H217">
        <v>79</v>
      </c>
    </row>
    <row r="218" spans="1:8" x14ac:dyDescent="0.25">
      <c r="A218" t="s">
        <v>14</v>
      </c>
      <c r="B218" t="s">
        <v>15</v>
      </c>
      <c r="C218" t="s">
        <v>27</v>
      </c>
      <c r="D218" s="2">
        <v>44746</v>
      </c>
      <c r="E218" s="1" t="str">
        <f>TEXT(Table1[[#This Row],[Date]],"ddd")</f>
        <v>Mon</v>
      </c>
      <c r="F218" s="1" t="str">
        <f>TEXT(Table1[[#This Row],[Date]],"mmm")</f>
        <v>Jul</v>
      </c>
      <c r="G218" s="7">
        <v>3199</v>
      </c>
      <c r="H218">
        <v>122</v>
      </c>
    </row>
    <row r="219" spans="1:8" x14ac:dyDescent="0.25">
      <c r="A219" t="s">
        <v>6</v>
      </c>
      <c r="B219" t="s">
        <v>10</v>
      </c>
      <c r="C219" t="s">
        <v>22</v>
      </c>
      <c r="D219" s="2">
        <v>44747</v>
      </c>
      <c r="E219" s="1" t="str">
        <f>TEXT(Table1[[#This Row],[Date]],"ddd")</f>
        <v>Tue</v>
      </c>
      <c r="F219" s="1" t="str">
        <f>TEXT(Table1[[#This Row],[Date]],"mmm")</f>
        <v>Jul</v>
      </c>
      <c r="G219" s="7">
        <v>3472</v>
      </c>
      <c r="H219">
        <v>135</v>
      </c>
    </row>
    <row r="220" spans="1:8" x14ac:dyDescent="0.25">
      <c r="A220" t="s">
        <v>53</v>
      </c>
      <c r="B220" t="s">
        <v>26</v>
      </c>
      <c r="C220" t="s">
        <v>20</v>
      </c>
      <c r="D220" s="2">
        <v>44635</v>
      </c>
      <c r="E220" s="1" t="str">
        <f>TEXT(Table1[[#This Row],[Date]],"ddd")</f>
        <v>Tue</v>
      </c>
      <c r="F220" s="1" t="str">
        <f>TEXT(Table1[[#This Row],[Date]],"mmm")</f>
        <v>Mar</v>
      </c>
      <c r="G220" s="7">
        <v>4571</v>
      </c>
      <c r="H220">
        <v>430</v>
      </c>
    </row>
    <row r="221" spans="1:8" x14ac:dyDescent="0.25">
      <c r="A221" t="s">
        <v>25</v>
      </c>
      <c r="B221" t="s">
        <v>7</v>
      </c>
      <c r="C221" t="s">
        <v>51</v>
      </c>
      <c r="D221" s="2">
        <v>44795</v>
      </c>
      <c r="E221" s="1" t="str">
        <f>TEXT(Table1[[#This Row],[Date]],"ddd")</f>
        <v>Mon</v>
      </c>
      <c r="F221" s="1" t="str">
        <f>TEXT(Table1[[#This Row],[Date]],"mmm")</f>
        <v>Aug</v>
      </c>
      <c r="G221" s="7">
        <v>5481</v>
      </c>
      <c r="H221">
        <v>69</v>
      </c>
    </row>
    <row r="222" spans="1:8" x14ac:dyDescent="0.25">
      <c r="A222" t="s">
        <v>55</v>
      </c>
      <c r="B222" t="s">
        <v>15</v>
      </c>
      <c r="C222" t="s">
        <v>58</v>
      </c>
      <c r="D222" s="2">
        <v>44573</v>
      </c>
      <c r="E222" s="1" t="str">
        <f>TEXT(Table1[[#This Row],[Date]],"ddd")</f>
        <v>Wed</v>
      </c>
      <c r="F222" s="1" t="str">
        <f>TEXT(Table1[[#This Row],[Date]],"mmm")</f>
        <v>Jan</v>
      </c>
      <c r="G222" s="7">
        <v>3136</v>
      </c>
      <c r="H222">
        <v>125</v>
      </c>
    </row>
    <row r="223" spans="1:8" x14ac:dyDescent="0.25">
      <c r="A223" t="s">
        <v>33</v>
      </c>
      <c r="B223" t="s">
        <v>7</v>
      </c>
      <c r="C223" t="s">
        <v>56</v>
      </c>
      <c r="D223" s="2">
        <v>44722</v>
      </c>
      <c r="E223" s="1" t="str">
        <f>TEXT(Table1[[#This Row],[Date]],"ddd")</f>
        <v>Fri</v>
      </c>
      <c r="F223" s="1" t="str">
        <f>TEXT(Table1[[#This Row],[Date]],"mmm")</f>
        <v>Jun</v>
      </c>
      <c r="G223" s="7">
        <v>252</v>
      </c>
      <c r="H223">
        <v>154</v>
      </c>
    </row>
    <row r="224" spans="1:8" x14ac:dyDescent="0.25">
      <c r="A224" t="s">
        <v>41</v>
      </c>
      <c r="B224" t="s">
        <v>15</v>
      </c>
      <c r="C224" t="s">
        <v>13</v>
      </c>
      <c r="D224" s="2">
        <v>44645</v>
      </c>
      <c r="E224" s="1" t="str">
        <f>TEXT(Table1[[#This Row],[Date]],"ddd")</f>
        <v>Fri</v>
      </c>
      <c r="F224" s="1" t="str">
        <f>TEXT(Table1[[#This Row],[Date]],"mmm")</f>
        <v>Mar</v>
      </c>
      <c r="G224" s="7">
        <v>5460</v>
      </c>
      <c r="H224">
        <v>286</v>
      </c>
    </row>
    <row r="225" spans="1:8" x14ac:dyDescent="0.25">
      <c r="A225" t="s">
        <v>24</v>
      </c>
      <c r="B225" t="s">
        <v>10</v>
      </c>
      <c r="C225" t="s">
        <v>47</v>
      </c>
      <c r="D225" s="2">
        <v>44769</v>
      </c>
      <c r="E225" s="1" t="str">
        <f>TEXT(Table1[[#This Row],[Date]],"ddd")</f>
        <v>Wed</v>
      </c>
      <c r="F225" s="1" t="str">
        <f>TEXT(Table1[[#This Row],[Date]],"mmm")</f>
        <v>Jul</v>
      </c>
      <c r="G225" s="7">
        <v>3395</v>
      </c>
      <c r="H225">
        <v>99</v>
      </c>
    </row>
    <row r="226" spans="1:8" x14ac:dyDescent="0.25">
      <c r="A226" t="s">
        <v>40</v>
      </c>
      <c r="B226" t="s">
        <v>7</v>
      </c>
      <c r="C226" t="s">
        <v>57</v>
      </c>
      <c r="D226" s="2">
        <v>44666</v>
      </c>
      <c r="E226" s="1" t="str">
        <f>TEXT(Table1[[#This Row],[Date]],"ddd")</f>
        <v>Fri</v>
      </c>
      <c r="F226" s="1" t="str">
        <f>TEXT(Table1[[#This Row],[Date]],"mmm")</f>
        <v>Apr</v>
      </c>
      <c r="G226" s="7">
        <v>14938</v>
      </c>
      <c r="H226">
        <v>433</v>
      </c>
    </row>
    <row r="227" spans="1:8" x14ac:dyDescent="0.25">
      <c r="A227" t="s">
        <v>36</v>
      </c>
      <c r="B227" t="s">
        <v>10</v>
      </c>
      <c r="C227" t="s">
        <v>27</v>
      </c>
      <c r="D227" s="2">
        <v>44739</v>
      </c>
      <c r="E227" s="1" t="str">
        <f>TEXT(Table1[[#This Row],[Date]],"ddd")</f>
        <v>Mon</v>
      </c>
      <c r="F227" s="1" t="str">
        <f>TEXT(Table1[[#This Row],[Date]],"mmm")</f>
        <v>Jun</v>
      </c>
      <c r="G227" s="7">
        <v>4053</v>
      </c>
      <c r="H227">
        <v>19</v>
      </c>
    </row>
    <row r="228" spans="1:8" x14ac:dyDescent="0.25">
      <c r="A228" t="s">
        <v>6</v>
      </c>
      <c r="B228" t="s">
        <v>7</v>
      </c>
      <c r="C228" t="s">
        <v>58</v>
      </c>
      <c r="D228" s="2">
        <v>44665</v>
      </c>
      <c r="E228" s="1" t="str">
        <f>TEXT(Table1[[#This Row],[Date]],"ddd")</f>
        <v>Thu</v>
      </c>
      <c r="F228" s="1" t="str">
        <f>TEXT(Table1[[#This Row],[Date]],"mmm")</f>
        <v>Apr</v>
      </c>
      <c r="G228" s="7">
        <v>5565</v>
      </c>
      <c r="H228">
        <v>258</v>
      </c>
    </row>
    <row r="229" spans="1:8" x14ac:dyDescent="0.25">
      <c r="A229" t="s">
        <v>40</v>
      </c>
      <c r="B229" t="s">
        <v>15</v>
      </c>
      <c r="C229" t="s">
        <v>45</v>
      </c>
      <c r="D229" s="2">
        <v>44635</v>
      </c>
      <c r="E229" s="1" t="str">
        <f>TEXT(Table1[[#This Row],[Date]],"ddd")</f>
        <v>Tue</v>
      </c>
      <c r="F229" s="1" t="str">
        <f>TEXT(Table1[[#This Row],[Date]],"mmm")</f>
        <v>Mar</v>
      </c>
      <c r="G229" s="7">
        <v>7161</v>
      </c>
      <c r="H229">
        <v>92</v>
      </c>
    </row>
    <row r="230" spans="1:8" x14ac:dyDescent="0.25">
      <c r="A230" t="s">
        <v>53</v>
      </c>
      <c r="B230" t="s">
        <v>26</v>
      </c>
      <c r="C230" t="s">
        <v>30</v>
      </c>
      <c r="D230" s="2">
        <v>44638</v>
      </c>
      <c r="E230" s="1" t="str">
        <f>TEXT(Table1[[#This Row],[Date]],"ddd")</f>
        <v>Fri</v>
      </c>
      <c r="F230" s="1" t="str">
        <f>TEXT(Table1[[#This Row],[Date]],"mmm")</f>
        <v>Mar</v>
      </c>
      <c r="G230" s="7">
        <v>8883</v>
      </c>
      <c r="H230">
        <v>200</v>
      </c>
    </row>
    <row r="231" spans="1:8" x14ac:dyDescent="0.25">
      <c r="A231" t="s">
        <v>23</v>
      </c>
      <c r="B231" t="s">
        <v>10</v>
      </c>
      <c r="C231" t="s">
        <v>30</v>
      </c>
      <c r="D231" s="2">
        <v>44680</v>
      </c>
      <c r="E231" s="1" t="str">
        <f>TEXT(Table1[[#This Row],[Date]],"ddd")</f>
        <v>Fri</v>
      </c>
      <c r="F231" s="1" t="str">
        <f>TEXT(Table1[[#This Row],[Date]],"mmm")</f>
        <v>Apr</v>
      </c>
      <c r="G231" s="7">
        <v>1351</v>
      </c>
      <c r="H231">
        <v>61</v>
      </c>
    </row>
    <row r="232" spans="1:8" x14ac:dyDescent="0.25">
      <c r="A232" t="s">
        <v>28</v>
      </c>
      <c r="B232" t="s">
        <v>21</v>
      </c>
      <c r="C232" t="s">
        <v>44</v>
      </c>
      <c r="D232" s="2">
        <v>44617</v>
      </c>
      <c r="E232" s="1" t="str">
        <f>TEXT(Table1[[#This Row],[Date]],"ddd")</f>
        <v>Fri</v>
      </c>
      <c r="F232" s="1" t="str">
        <f>TEXT(Table1[[#This Row],[Date]],"mmm")</f>
        <v>Feb</v>
      </c>
      <c r="G232" s="7">
        <v>3171</v>
      </c>
      <c r="H232">
        <v>246</v>
      </c>
    </row>
    <row r="233" spans="1:8" x14ac:dyDescent="0.25">
      <c r="A233" t="s">
        <v>40</v>
      </c>
      <c r="B233" t="s">
        <v>26</v>
      </c>
      <c r="C233" t="s">
        <v>37</v>
      </c>
      <c r="D233" s="2">
        <v>44622</v>
      </c>
      <c r="E233" s="1" t="str">
        <f>TEXT(Table1[[#This Row],[Date]],"ddd")</f>
        <v>Wed</v>
      </c>
      <c r="F233" s="1" t="str">
        <f>TEXT(Table1[[#This Row],[Date]],"mmm")</f>
        <v>Mar</v>
      </c>
      <c r="G233" s="7">
        <v>854</v>
      </c>
      <c r="H233">
        <v>56</v>
      </c>
    </row>
    <row r="234" spans="1:8" x14ac:dyDescent="0.25">
      <c r="A234" t="s">
        <v>9</v>
      </c>
      <c r="B234" t="s">
        <v>15</v>
      </c>
      <c r="C234" t="s">
        <v>37</v>
      </c>
      <c r="D234" s="2">
        <v>44732</v>
      </c>
      <c r="E234" s="1" t="str">
        <f>TEXT(Table1[[#This Row],[Date]],"ddd")</f>
        <v>Mon</v>
      </c>
      <c r="F234" s="1" t="str">
        <f>TEXT(Table1[[#This Row],[Date]],"mmm")</f>
        <v>Jun</v>
      </c>
      <c r="G234" s="7">
        <v>7910</v>
      </c>
      <c r="H234">
        <v>87</v>
      </c>
    </row>
    <row r="235" spans="1:8" x14ac:dyDescent="0.25">
      <c r="A235" t="s">
        <v>34</v>
      </c>
      <c r="B235" t="s">
        <v>29</v>
      </c>
      <c r="C235" t="s">
        <v>44</v>
      </c>
      <c r="D235" s="2">
        <v>44757</v>
      </c>
      <c r="E235" s="1" t="str">
        <f>TEXT(Table1[[#This Row],[Date]],"ddd")</f>
        <v>Fri</v>
      </c>
      <c r="F235" s="1" t="str">
        <f>TEXT(Table1[[#This Row],[Date]],"mmm")</f>
        <v>Jul</v>
      </c>
      <c r="G235" s="7">
        <v>9275</v>
      </c>
      <c r="H235">
        <v>173</v>
      </c>
    </row>
    <row r="236" spans="1:8" x14ac:dyDescent="0.25">
      <c r="A236" t="s">
        <v>54</v>
      </c>
      <c r="B236" t="s">
        <v>15</v>
      </c>
      <c r="C236" t="s">
        <v>22</v>
      </c>
      <c r="D236" s="2">
        <v>44693</v>
      </c>
      <c r="E236" s="1" t="str">
        <f>TEXT(Table1[[#This Row],[Date]],"ddd")</f>
        <v>Thu</v>
      </c>
      <c r="F236" s="1" t="str">
        <f>TEXT(Table1[[#This Row],[Date]],"mmm")</f>
        <v>May</v>
      </c>
      <c r="G236" s="7">
        <v>3108</v>
      </c>
      <c r="H236">
        <v>252</v>
      </c>
    </row>
    <row r="237" spans="1:8" x14ac:dyDescent="0.25">
      <c r="A237" t="s">
        <v>28</v>
      </c>
      <c r="B237" t="s">
        <v>21</v>
      </c>
      <c r="C237" t="s">
        <v>35</v>
      </c>
      <c r="D237" s="2">
        <v>44743</v>
      </c>
      <c r="E237" s="1" t="str">
        <f>TEXT(Table1[[#This Row],[Date]],"ddd")</f>
        <v>Fri</v>
      </c>
      <c r="F237" s="1" t="str">
        <f>TEXT(Table1[[#This Row],[Date]],"mmm")</f>
        <v>Jul</v>
      </c>
      <c r="G237" s="7">
        <v>5075</v>
      </c>
      <c r="H237">
        <v>256</v>
      </c>
    </row>
    <row r="238" spans="1:8" x14ac:dyDescent="0.25">
      <c r="A238" t="s">
        <v>40</v>
      </c>
      <c r="B238" t="s">
        <v>26</v>
      </c>
      <c r="C238" t="s">
        <v>11</v>
      </c>
      <c r="D238" s="2">
        <v>44781</v>
      </c>
      <c r="E238" s="1" t="str">
        <f>TEXT(Table1[[#This Row],[Date]],"ddd")</f>
        <v>Mon</v>
      </c>
      <c r="F238" s="1" t="str">
        <f>TEXT(Table1[[#This Row],[Date]],"mmm")</f>
        <v>Aug</v>
      </c>
      <c r="G238" s="7">
        <v>378</v>
      </c>
      <c r="H238">
        <v>54</v>
      </c>
    </row>
    <row r="239" spans="1:8" x14ac:dyDescent="0.25">
      <c r="A239" t="s">
        <v>53</v>
      </c>
      <c r="B239" t="s">
        <v>15</v>
      </c>
      <c r="C239" t="s">
        <v>22</v>
      </c>
      <c r="D239" s="2">
        <v>44767</v>
      </c>
      <c r="E239" s="1" t="str">
        <f>TEXT(Table1[[#This Row],[Date]],"ddd")</f>
        <v>Mon</v>
      </c>
      <c r="F239" s="1" t="str">
        <f>TEXT(Table1[[#This Row],[Date]],"mmm")</f>
        <v>Jul</v>
      </c>
      <c r="G239" s="7">
        <v>7350</v>
      </c>
      <c r="H239">
        <v>6</v>
      </c>
    </row>
    <row r="240" spans="1:8" x14ac:dyDescent="0.25">
      <c r="A240" t="s">
        <v>46</v>
      </c>
      <c r="B240" t="s">
        <v>7</v>
      </c>
      <c r="C240" t="s">
        <v>32</v>
      </c>
      <c r="D240" s="2">
        <v>44699</v>
      </c>
      <c r="E240" s="1" t="str">
        <f>TEXT(Table1[[#This Row],[Date]],"ddd")</f>
        <v>Wed</v>
      </c>
      <c r="F240" s="1" t="str">
        <f>TEXT(Table1[[#This Row],[Date]],"mmm")</f>
        <v>May</v>
      </c>
      <c r="G240" s="7">
        <v>3388</v>
      </c>
      <c r="H240">
        <v>55</v>
      </c>
    </row>
    <row r="241" spans="1:8" x14ac:dyDescent="0.25">
      <c r="A241" t="s">
        <v>50</v>
      </c>
      <c r="B241" t="s">
        <v>10</v>
      </c>
      <c r="C241" t="s">
        <v>13</v>
      </c>
      <c r="D241" s="2">
        <v>44757</v>
      </c>
      <c r="E241" s="1" t="str">
        <f>TEXT(Table1[[#This Row],[Date]],"ddd")</f>
        <v>Fri</v>
      </c>
      <c r="F241" s="1" t="str">
        <f>TEXT(Table1[[#This Row],[Date]],"mmm")</f>
        <v>Jul</v>
      </c>
      <c r="G241" s="7">
        <v>11837</v>
      </c>
      <c r="H241">
        <v>277</v>
      </c>
    </row>
    <row r="242" spans="1:8" x14ac:dyDescent="0.25">
      <c r="A242" t="s">
        <v>38</v>
      </c>
      <c r="B242" t="s">
        <v>10</v>
      </c>
      <c r="C242" t="s">
        <v>58</v>
      </c>
      <c r="D242" s="2">
        <v>44747</v>
      </c>
      <c r="E242" s="1" t="str">
        <f>TEXT(Table1[[#This Row],[Date]],"ddd")</f>
        <v>Tue</v>
      </c>
      <c r="F242" s="1" t="str">
        <f>TEXT(Table1[[#This Row],[Date]],"mmm")</f>
        <v>Jul</v>
      </c>
      <c r="G242" s="7">
        <v>2282</v>
      </c>
      <c r="H242">
        <v>44</v>
      </c>
    </row>
    <row r="243" spans="1:8" x14ac:dyDescent="0.25">
      <c r="A243" t="s">
        <v>28</v>
      </c>
      <c r="B243" t="s">
        <v>26</v>
      </c>
      <c r="C243" t="s">
        <v>45</v>
      </c>
      <c r="D243" s="2">
        <v>44746</v>
      </c>
      <c r="E243" s="1" t="str">
        <f>TEXT(Table1[[#This Row],[Date]],"ddd")</f>
        <v>Mon</v>
      </c>
      <c r="F243" s="1" t="str">
        <f>TEXT(Table1[[#This Row],[Date]],"mmm")</f>
        <v>Jul</v>
      </c>
      <c r="G243" s="7">
        <v>5425</v>
      </c>
      <c r="H243">
        <v>96</v>
      </c>
    </row>
    <row r="244" spans="1:8" x14ac:dyDescent="0.25">
      <c r="A244" t="s">
        <v>54</v>
      </c>
      <c r="B244" t="s">
        <v>7</v>
      </c>
      <c r="C244" t="s">
        <v>58</v>
      </c>
      <c r="D244" s="2">
        <v>44732</v>
      </c>
      <c r="E244" s="1" t="str">
        <f>TEXT(Table1[[#This Row],[Date]],"ddd")</f>
        <v>Mon</v>
      </c>
      <c r="F244" s="1" t="str">
        <f>TEXT(Table1[[#This Row],[Date]],"mmm")</f>
        <v>Jun</v>
      </c>
      <c r="G244" s="7">
        <v>1267</v>
      </c>
      <c r="H244">
        <v>216</v>
      </c>
    </row>
    <row r="245" spans="1:8" x14ac:dyDescent="0.25">
      <c r="A245" t="s">
        <v>19</v>
      </c>
      <c r="B245" t="s">
        <v>15</v>
      </c>
      <c r="C245" t="s">
        <v>47</v>
      </c>
      <c r="D245" s="2">
        <v>44586</v>
      </c>
      <c r="E245" s="1" t="str">
        <f>TEXT(Table1[[#This Row],[Date]],"ddd")</f>
        <v>Tue</v>
      </c>
      <c r="F245" s="1" t="str">
        <f>TEXT(Table1[[#This Row],[Date]],"mmm")</f>
        <v>Jan</v>
      </c>
      <c r="G245" s="7">
        <v>3752</v>
      </c>
      <c r="H245">
        <v>424</v>
      </c>
    </row>
    <row r="246" spans="1:8" x14ac:dyDescent="0.25">
      <c r="A246" t="s">
        <v>41</v>
      </c>
      <c r="B246" t="s">
        <v>21</v>
      </c>
      <c r="C246" t="s">
        <v>39</v>
      </c>
      <c r="D246" s="2">
        <v>44743</v>
      </c>
      <c r="E246" s="1" t="str">
        <f>TEXT(Table1[[#This Row],[Date]],"ddd")</f>
        <v>Fri</v>
      </c>
      <c r="F246" s="1" t="str">
        <f>TEXT(Table1[[#This Row],[Date]],"mmm")</f>
        <v>Jul</v>
      </c>
      <c r="G246" s="7">
        <v>7728</v>
      </c>
      <c r="H246">
        <v>37</v>
      </c>
    </row>
    <row r="247" spans="1:8" x14ac:dyDescent="0.25">
      <c r="A247" t="s">
        <v>12</v>
      </c>
      <c r="B247" t="s">
        <v>26</v>
      </c>
      <c r="C247" t="s">
        <v>22</v>
      </c>
      <c r="D247" s="2">
        <v>44664</v>
      </c>
      <c r="E247" s="1" t="str">
        <f>TEXT(Table1[[#This Row],[Date]],"ddd")</f>
        <v>Wed</v>
      </c>
      <c r="F247" s="1" t="str">
        <f>TEXT(Table1[[#This Row],[Date]],"mmm")</f>
        <v>Apr</v>
      </c>
      <c r="G247" s="7">
        <v>2296</v>
      </c>
      <c r="H247">
        <v>59</v>
      </c>
    </row>
    <row r="248" spans="1:8" x14ac:dyDescent="0.25">
      <c r="A248" t="s">
        <v>34</v>
      </c>
      <c r="B248" t="s">
        <v>7</v>
      </c>
      <c r="C248" t="s">
        <v>16</v>
      </c>
      <c r="D248" s="2">
        <v>44685</v>
      </c>
      <c r="E248" s="1" t="str">
        <f>TEXT(Table1[[#This Row],[Date]],"ddd")</f>
        <v>Wed</v>
      </c>
      <c r="F248" s="1" t="str">
        <f>TEXT(Table1[[#This Row],[Date]],"mmm")</f>
        <v>May</v>
      </c>
      <c r="G248" s="7">
        <v>4403</v>
      </c>
      <c r="H248">
        <v>76</v>
      </c>
    </row>
    <row r="249" spans="1:8" x14ac:dyDescent="0.25">
      <c r="A249" t="s">
        <v>34</v>
      </c>
      <c r="B249" t="s">
        <v>15</v>
      </c>
      <c r="C249" t="s">
        <v>56</v>
      </c>
      <c r="D249" s="2">
        <v>44777</v>
      </c>
      <c r="E249" s="1" t="str">
        <f>TEXT(Table1[[#This Row],[Date]],"ddd")</f>
        <v>Thu</v>
      </c>
      <c r="F249" s="1" t="str">
        <f>TEXT(Table1[[#This Row],[Date]],"mmm")</f>
        <v>Aug</v>
      </c>
      <c r="G249" s="7">
        <v>3192</v>
      </c>
      <c r="H249">
        <v>109</v>
      </c>
    </row>
    <row r="250" spans="1:8" x14ac:dyDescent="0.25">
      <c r="A250" t="s">
        <v>34</v>
      </c>
      <c r="B250" t="s">
        <v>10</v>
      </c>
      <c r="C250" t="s">
        <v>58</v>
      </c>
      <c r="D250" s="2">
        <v>44713</v>
      </c>
      <c r="E250" s="1" t="str">
        <f>TEXT(Table1[[#This Row],[Date]],"ddd")</f>
        <v>Wed</v>
      </c>
      <c r="F250" s="1" t="str">
        <f>TEXT(Table1[[#This Row],[Date]],"mmm")</f>
        <v>Jun</v>
      </c>
      <c r="G250" s="7">
        <v>448</v>
      </c>
      <c r="H250">
        <v>146</v>
      </c>
    </row>
    <row r="251" spans="1:8" x14ac:dyDescent="0.25">
      <c r="A251" t="s">
        <v>6</v>
      </c>
      <c r="B251" t="s">
        <v>7</v>
      </c>
      <c r="C251" t="s">
        <v>52</v>
      </c>
      <c r="D251" s="2">
        <v>44673</v>
      </c>
      <c r="E251" s="1" t="str">
        <f>TEXT(Table1[[#This Row],[Date]],"ddd")</f>
        <v>Fri</v>
      </c>
      <c r="F251" s="1" t="str">
        <f>TEXT(Table1[[#This Row],[Date]],"mmm")</f>
        <v>Apr</v>
      </c>
      <c r="G251" s="7">
        <v>4270</v>
      </c>
      <c r="H251">
        <v>185</v>
      </c>
    </row>
    <row r="252" spans="1:8" x14ac:dyDescent="0.25">
      <c r="A252" t="s">
        <v>41</v>
      </c>
      <c r="B252" t="s">
        <v>26</v>
      </c>
      <c r="C252" t="s">
        <v>22</v>
      </c>
      <c r="D252" s="2">
        <v>44776</v>
      </c>
      <c r="E252" s="1" t="str">
        <f>TEXT(Table1[[#This Row],[Date]],"ddd")</f>
        <v>Wed</v>
      </c>
      <c r="F252" s="1" t="str">
        <f>TEXT(Table1[[#This Row],[Date]],"mmm")</f>
        <v>Aug</v>
      </c>
      <c r="G252" s="7">
        <v>70</v>
      </c>
      <c r="H252">
        <v>27</v>
      </c>
    </row>
    <row r="253" spans="1:8" x14ac:dyDescent="0.25">
      <c r="A253" t="s">
        <v>55</v>
      </c>
      <c r="B253" t="s">
        <v>26</v>
      </c>
      <c r="C253" t="s">
        <v>27</v>
      </c>
      <c r="D253" s="2">
        <v>44722</v>
      </c>
      <c r="E253" s="1" t="str">
        <f>TEXT(Table1[[#This Row],[Date]],"ddd")</f>
        <v>Fri</v>
      </c>
      <c r="F253" s="1" t="str">
        <f>TEXT(Table1[[#This Row],[Date]],"mmm")</f>
        <v>Jun</v>
      </c>
      <c r="G253" s="7">
        <v>1743</v>
      </c>
      <c r="H253">
        <v>69</v>
      </c>
    </row>
    <row r="254" spans="1:8" x14ac:dyDescent="0.25">
      <c r="A254" t="s">
        <v>19</v>
      </c>
      <c r="B254" t="s">
        <v>7</v>
      </c>
      <c r="C254" t="s">
        <v>45</v>
      </c>
      <c r="D254" s="2">
        <v>44739</v>
      </c>
      <c r="E254" s="1" t="str">
        <f>TEXT(Table1[[#This Row],[Date]],"ddd")</f>
        <v>Mon</v>
      </c>
      <c r="F254" s="1" t="str">
        <f>TEXT(Table1[[#This Row],[Date]],"mmm")</f>
        <v>Jun</v>
      </c>
      <c r="G254" s="7">
        <v>6762</v>
      </c>
      <c r="H254">
        <v>46</v>
      </c>
    </row>
    <row r="255" spans="1:8" x14ac:dyDescent="0.25">
      <c r="A255" t="s">
        <v>33</v>
      </c>
      <c r="B255" t="s">
        <v>15</v>
      </c>
      <c r="C255" t="s">
        <v>16</v>
      </c>
      <c r="D255" s="2">
        <v>44564</v>
      </c>
      <c r="E255" s="1" t="str">
        <f>TEXT(Table1[[#This Row],[Date]],"ddd")</f>
        <v>Mon</v>
      </c>
      <c r="F255" s="1" t="str">
        <f>TEXT(Table1[[#This Row],[Date]],"mmm")</f>
        <v>Jan</v>
      </c>
      <c r="G255" s="7">
        <v>3745</v>
      </c>
      <c r="H255">
        <v>170</v>
      </c>
    </row>
    <row r="256" spans="1:8" x14ac:dyDescent="0.25">
      <c r="A256" t="s">
        <v>33</v>
      </c>
      <c r="B256" t="s">
        <v>10</v>
      </c>
      <c r="C256" t="s">
        <v>20</v>
      </c>
      <c r="D256" s="2">
        <v>44753</v>
      </c>
      <c r="E256" s="1" t="str">
        <f>TEXT(Table1[[#This Row],[Date]],"ddd")</f>
        <v>Mon</v>
      </c>
      <c r="F256" s="1" t="str">
        <f>TEXT(Table1[[#This Row],[Date]],"mmm")</f>
        <v>Jul</v>
      </c>
      <c r="G256" s="7">
        <v>2639</v>
      </c>
      <c r="H256">
        <v>179</v>
      </c>
    </row>
    <row r="257" spans="1:8" x14ac:dyDescent="0.25">
      <c r="A257" t="s">
        <v>55</v>
      </c>
      <c r="B257" t="s">
        <v>21</v>
      </c>
      <c r="C257" t="s">
        <v>37</v>
      </c>
      <c r="D257" s="2">
        <v>44790</v>
      </c>
      <c r="E257" s="1" t="str">
        <f>TEXT(Table1[[#This Row],[Date]],"ddd")</f>
        <v>Wed</v>
      </c>
      <c r="F257" s="1" t="str">
        <f>TEXT(Table1[[#This Row],[Date]],"mmm")</f>
        <v>Aug</v>
      </c>
      <c r="G257" s="7">
        <v>4389</v>
      </c>
      <c r="H257">
        <v>126</v>
      </c>
    </row>
    <row r="258" spans="1:8" x14ac:dyDescent="0.25">
      <c r="A258" t="s">
        <v>24</v>
      </c>
      <c r="B258" t="s">
        <v>26</v>
      </c>
      <c r="C258" t="s">
        <v>42</v>
      </c>
      <c r="D258" s="2">
        <v>44579</v>
      </c>
      <c r="E258" s="1" t="str">
        <f>TEXT(Table1[[#This Row],[Date]],"ddd")</f>
        <v>Tue</v>
      </c>
      <c r="F258" s="1" t="str">
        <f>TEXT(Table1[[#This Row],[Date]],"mmm")</f>
        <v>Jan</v>
      </c>
      <c r="G258" s="7">
        <v>2604</v>
      </c>
      <c r="H258">
        <v>65</v>
      </c>
    </row>
    <row r="259" spans="1:8" x14ac:dyDescent="0.25">
      <c r="A259" t="s">
        <v>55</v>
      </c>
      <c r="B259" t="s">
        <v>10</v>
      </c>
      <c r="C259" t="s">
        <v>35</v>
      </c>
      <c r="D259" s="2">
        <v>44628</v>
      </c>
      <c r="E259" s="1" t="str">
        <f>TEXT(Table1[[#This Row],[Date]],"ddd")</f>
        <v>Tue</v>
      </c>
      <c r="F259" s="1" t="str">
        <f>TEXT(Table1[[#This Row],[Date]],"mmm")</f>
        <v>Mar</v>
      </c>
      <c r="G259" s="7">
        <v>16569</v>
      </c>
      <c r="H259">
        <v>99</v>
      </c>
    </row>
    <row r="260" spans="1:8" x14ac:dyDescent="0.25">
      <c r="A260" t="s">
        <v>28</v>
      </c>
      <c r="B260" t="s">
        <v>15</v>
      </c>
      <c r="C260" t="s">
        <v>27</v>
      </c>
      <c r="D260" s="2">
        <v>44627</v>
      </c>
      <c r="E260" s="1" t="str">
        <f>TEXT(Table1[[#This Row],[Date]],"ddd")</f>
        <v>Mon</v>
      </c>
      <c r="F260" s="1" t="str">
        <f>TEXT(Table1[[#This Row],[Date]],"mmm")</f>
        <v>Mar</v>
      </c>
      <c r="G260" s="7">
        <v>14658</v>
      </c>
      <c r="H260">
        <v>275</v>
      </c>
    </row>
    <row r="261" spans="1:8" x14ac:dyDescent="0.25">
      <c r="A261" t="s">
        <v>40</v>
      </c>
      <c r="B261" t="s">
        <v>10</v>
      </c>
      <c r="C261" t="s">
        <v>58</v>
      </c>
      <c r="D261" s="2">
        <v>44690</v>
      </c>
      <c r="E261" s="1" t="str">
        <f>TEXT(Table1[[#This Row],[Date]],"ddd")</f>
        <v>Mon</v>
      </c>
      <c r="F261" s="1" t="str">
        <f>TEXT(Table1[[#This Row],[Date]],"mmm")</f>
        <v>May</v>
      </c>
      <c r="G261" s="7">
        <v>6454</v>
      </c>
      <c r="H261">
        <v>157</v>
      </c>
    </row>
    <row r="262" spans="1:8" x14ac:dyDescent="0.25">
      <c r="A262" t="s">
        <v>25</v>
      </c>
      <c r="B262" t="s">
        <v>21</v>
      </c>
      <c r="C262" t="s">
        <v>11</v>
      </c>
      <c r="D262" s="2">
        <v>44704</v>
      </c>
      <c r="E262" s="1" t="str">
        <f>TEXT(Table1[[#This Row],[Date]],"ddd")</f>
        <v>Mon</v>
      </c>
      <c r="F262" s="1" t="str">
        <f>TEXT(Table1[[#This Row],[Date]],"mmm")</f>
        <v>May</v>
      </c>
      <c r="G262" s="7">
        <v>2100</v>
      </c>
      <c r="H262">
        <v>157</v>
      </c>
    </row>
    <row r="263" spans="1:8" x14ac:dyDescent="0.25">
      <c r="A263" t="s">
        <v>53</v>
      </c>
      <c r="B263" t="s">
        <v>7</v>
      </c>
      <c r="C263" t="s">
        <v>57</v>
      </c>
      <c r="D263" s="2">
        <v>44666</v>
      </c>
      <c r="E263" s="1" t="str">
        <f>TEXT(Table1[[#This Row],[Date]],"ddd")</f>
        <v>Fri</v>
      </c>
      <c r="F263" s="1" t="str">
        <f>TEXT(Table1[[#This Row],[Date]],"mmm")</f>
        <v>Apr</v>
      </c>
      <c r="G263" s="7">
        <v>161</v>
      </c>
      <c r="H263">
        <v>145</v>
      </c>
    </row>
    <row r="264" spans="1:8" x14ac:dyDescent="0.25">
      <c r="A264" t="s">
        <v>12</v>
      </c>
      <c r="B264" t="s">
        <v>15</v>
      </c>
      <c r="C264" t="s">
        <v>32</v>
      </c>
      <c r="D264" s="2">
        <v>44769</v>
      </c>
      <c r="E264" s="1" t="str">
        <f>TEXT(Table1[[#This Row],[Date]],"ddd")</f>
        <v>Wed</v>
      </c>
      <c r="F264" s="1" t="str">
        <f>TEXT(Table1[[#This Row],[Date]],"mmm")</f>
        <v>Jul</v>
      </c>
      <c r="G264" s="7">
        <v>2807</v>
      </c>
      <c r="H264">
        <v>139</v>
      </c>
    </row>
    <row r="265" spans="1:8" x14ac:dyDescent="0.25">
      <c r="A265" t="s">
        <v>33</v>
      </c>
      <c r="B265" t="s">
        <v>29</v>
      </c>
      <c r="C265" t="s">
        <v>52</v>
      </c>
      <c r="D265" s="2">
        <v>44795</v>
      </c>
      <c r="E265" s="1" t="str">
        <f>TEXT(Table1[[#This Row],[Date]],"ddd")</f>
        <v>Mon</v>
      </c>
      <c r="F265" s="1" t="str">
        <f>TEXT(Table1[[#This Row],[Date]],"mmm")</f>
        <v>Aug</v>
      </c>
      <c r="G265" s="7">
        <v>2639</v>
      </c>
      <c r="H265">
        <v>406</v>
      </c>
    </row>
    <row r="266" spans="1:8" x14ac:dyDescent="0.25">
      <c r="A266" t="s">
        <v>55</v>
      </c>
      <c r="B266" t="s">
        <v>26</v>
      </c>
      <c r="C266" t="s">
        <v>58</v>
      </c>
      <c r="D266" s="2">
        <v>44692</v>
      </c>
      <c r="E266" s="1" t="str">
        <f>TEXT(Table1[[#This Row],[Date]],"ddd")</f>
        <v>Wed</v>
      </c>
      <c r="F266" s="1" t="str">
        <f>TEXT(Table1[[#This Row],[Date]],"mmm")</f>
        <v>May</v>
      </c>
      <c r="G266" s="7">
        <v>4571</v>
      </c>
      <c r="H266">
        <v>122</v>
      </c>
    </row>
    <row r="267" spans="1:8" x14ac:dyDescent="0.25">
      <c r="A267" t="s">
        <v>53</v>
      </c>
      <c r="B267" t="s">
        <v>10</v>
      </c>
      <c r="C267" t="s">
        <v>35</v>
      </c>
      <c r="D267" s="2">
        <v>44587</v>
      </c>
      <c r="E267" s="1" t="str">
        <f>TEXT(Table1[[#This Row],[Date]],"ddd")</f>
        <v>Wed</v>
      </c>
      <c r="F267" s="1" t="str">
        <f>TEXT(Table1[[#This Row],[Date]],"mmm")</f>
        <v>Jan</v>
      </c>
      <c r="G267" s="7">
        <v>4781</v>
      </c>
      <c r="H267">
        <v>38</v>
      </c>
    </row>
    <row r="268" spans="1:8" x14ac:dyDescent="0.25">
      <c r="A268" t="s">
        <v>25</v>
      </c>
      <c r="B268" t="s">
        <v>26</v>
      </c>
      <c r="C268" t="s">
        <v>22</v>
      </c>
      <c r="D268" s="2">
        <v>44665</v>
      </c>
      <c r="E268" s="1" t="str">
        <f>TEXT(Table1[[#This Row],[Date]],"ddd")</f>
        <v>Thu</v>
      </c>
      <c r="F268" s="1" t="str">
        <f>TEXT(Table1[[#This Row],[Date]],"mmm")</f>
        <v>Apr</v>
      </c>
      <c r="G268" s="7">
        <v>13034</v>
      </c>
      <c r="H268">
        <v>117</v>
      </c>
    </row>
    <row r="269" spans="1:8" x14ac:dyDescent="0.25">
      <c r="A269" t="s">
        <v>43</v>
      </c>
      <c r="B269" t="s">
        <v>21</v>
      </c>
      <c r="C269" t="s">
        <v>8</v>
      </c>
      <c r="D269" s="2">
        <v>44656</v>
      </c>
      <c r="E269" s="1" t="str">
        <f>TEXT(Table1[[#This Row],[Date]],"ddd")</f>
        <v>Tue</v>
      </c>
      <c r="F269" s="1" t="str">
        <f>TEXT(Table1[[#This Row],[Date]],"mmm")</f>
        <v>Apr</v>
      </c>
      <c r="G269" s="7">
        <v>6454</v>
      </c>
      <c r="H269">
        <v>417</v>
      </c>
    </row>
    <row r="270" spans="1:8" x14ac:dyDescent="0.25">
      <c r="A270" t="s">
        <v>33</v>
      </c>
      <c r="B270" t="s">
        <v>21</v>
      </c>
      <c r="C270" t="s">
        <v>16</v>
      </c>
      <c r="D270" s="2">
        <v>44726</v>
      </c>
      <c r="E270" s="1" t="str">
        <f>TEXT(Table1[[#This Row],[Date]],"ddd")</f>
        <v>Tue</v>
      </c>
      <c r="F270" s="1" t="str">
        <f>TEXT(Table1[[#This Row],[Date]],"mmm")</f>
        <v>Jun</v>
      </c>
      <c r="G270" s="7">
        <v>8484</v>
      </c>
      <c r="H270">
        <v>57</v>
      </c>
    </row>
    <row r="271" spans="1:8" x14ac:dyDescent="0.25">
      <c r="A271" t="s">
        <v>23</v>
      </c>
      <c r="B271" t="s">
        <v>29</v>
      </c>
      <c r="C271" t="s">
        <v>47</v>
      </c>
      <c r="D271" s="2">
        <v>44664</v>
      </c>
      <c r="E271" s="1" t="str">
        <f>TEXT(Table1[[#This Row],[Date]],"ddd")</f>
        <v>Wed</v>
      </c>
      <c r="F271" s="1" t="str">
        <f>TEXT(Table1[[#This Row],[Date]],"mmm")</f>
        <v>Apr</v>
      </c>
      <c r="G271" s="7">
        <v>4781</v>
      </c>
      <c r="H271">
        <v>125</v>
      </c>
    </row>
    <row r="272" spans="1:8" x14ac:dyDescent="0.25">
      <c r="A272" t="s">
        <v>34</v>
      </c>
      <c r="B272" t="s">
        <v>15</v>
      </c>
      <c r="C272" t="s">
        <v>44</v>
      </c>
      <c r="D272" s="2">
        <v>44739</v>
      </c>
      <c r="E272" s="1" t="str">
        <f>TEXT(Table1[[#This Row],[Date]],"ddd")</f>
        <v>Mon</v>
      </c>
      <c r="F272" s="1" t="str">
        <f>TEXT(Table1[[#This Row],[Date]],"mmm")</f>
        <v>Jun</v>
      </c>
      <c r="G272" s="7">
        <v>2240</v>
      </c>
      <c r="H272">
        <v>166</v>
      </c>
    </row>
    <row r="273" spans="1:8" x14ac:dyDescent="0.25">
      <c r="A273" t="s">
        <v>54</v>
      </c>
      <c r="B273" t="s">
        <v>15</v>
      </c>
      <c r="C273" t="s">
        <v>30</v>
      </c>
      <c r="D273" s="2">
        <v>44587</v>
      </c>
      <c r="E273" s="1" t="str">
        <f>TEXT(Table1[[#This Row],[Date]],"ddd")</f>
        <v>Wed</v>
      </c>
      <c r="F273" s="1" t="str">
        <f>TEXT(Table1[[#This Row],[Date]],"mmm")</f>
        <v>Jan</v>
      </c>
      <c r="G273" s="7">
        <v>6979</v>
      </c>
      <c r="H273">
        <v>3</v>
      </c>
    </row>
    <row r="274" spans="1:8" x14ac:dyDescent="0.25">
      <c r="A274" t="s">
        <v>25</v>
      </c>
      <c r="B274" t="s">
        <v>7</v>
      </c>
      <c r="C274" t="s">
        <v>44</v>
      </c>
      <c r="D274" s="2">
        <v>44747</v>
      </c>
      <c r="E274" s="1" t="str">
        <f>TEXT(Table1[[#This Row],[Date]],"ddd")</f>
        <v>Tue</v>
      </c>
      <c r="F274" s="1" t="str">
        <f>TEXT(Table1[[#This Row],[Date]],"mmm")</f>
        <v>Jul</v>
      </c>
      <c r="G274" s="7">
        <v>1652</v>
      </c>
      <c r="H274">
        <v>72</v>
      </c>
    </row>
    <row r="275" spans="1:8" x14ac:dyDescent="0.25">
      <c r="A275" t="s">
        <v>34</v>
      </c>
      <c r="B275" t="s">
        <v>29</v>
      </c>
      <c r="C275" t="s">
        <v>56</v>
      </c>
      <c r="D275" s="2">
        <v>44572</v>
      </c>
      <c r="E275" s="1" t="str">
        <f>TEXT(Table1[[#This Row],[Date]],"ddd")</f>
        <v>Tue</v>
      </c>
      <c r="F275" s="1" t="str">
        <f>TEXT(Table1[[#This Row],[Date]],"mmm")</f>
        <v>Jan</v>
      </c>
      <c r="G275" s="7">
        <v>13447</v>
      </c>
      <c r="H275">
        <v>95</v>
      </c>
    </row>
    <row r="276" spans="1:8" x14ac:dyDescent="0.25">
      <c r="A276" t="s">
        <v>49</v>
      </c>
      <c r="B276" t="s">
        <v>26</v>
      </c>
      <c r="C276" t="s">
        <v>44</v>
      </c>
      <c r="D276" s="2">
        <v>44627</v>
      </c>
      <c r="E276" s="1" t="str">
        <f>TEXT(Table1[[#This Row],[Date]],"ddd")</f>
        <v>Mon</v>
      </c>
      <c r="F276" s="1" t="str">
        <f>TEXT(Table1[[#This Row],[Date]],"mmm")</f>
        <v>Mar</v>
      </c>
      <c r="G276" s="7">
        <v>9422</v>
      </c>
      <c r="H276">
        <v>22</v>
      </c>
    </row>
    <row r="277" spans="1:8" x14ac:dyDescent="0.25">
      <c r="A277" t="s">
        <v>41</v>
      </c>
      <c r="B277" t="s">
        <v>29</v>
      </c>
      <c r="C277" t="s">
        <v>22</v>
      </c>
      <c r="D277" s="2">
        <v>44624</v>
      </c>
      <c r="E277" s="1" t="str">
        <f>TEXT(Table1[[#This Row],[Date]],"ddd")</f>
        <v>Fri</v>
      </c>
      <c r="F277" s="1" t="str">
        <f>TEXT(Table1[[#This Row],[Date]],"mmm")</f>
        <v>Mar</v>
      </c>
      <c r="G277" s="7">
        <v>8687</v>
      </c>
      <c r="H277">
        <v>100</v>
      </c>
    </row>
    <row r="278" spans="1:8" x14ac:dyDescent="0.25">
      <c r="A278" t="s">
        <v>31</v>
      </c>
      <c r="B278" t="s">
        <v>29</v>
      </c>
      <c r="C278" t="s">
        <v>35</v>
      </c>
      <c r="D278" s="2">
        <v>44757</v>
      </c>
      <c r="E278" s="1" t="str">
        <f>TEXT(Table1[[#This Row],[Date]],"ddd")</f>
        <v>Fri</v>
      </c>
      <c r="F278" s="1" t="str">
        <f>TEXT(Table1[[#This Row],[Date]],"mmm")</f>
        <v>Jul</v>
      </c>
      <c r="G278" s="7">
        <v>2415</v>
      </c>
      <c r="H278">
        <v>312</v>
      </c>
    </row>
    <row r="279" spans="1:8" x14ac:dyDescent="0.25">
      <c r="A279" t="s">
        <v>41</v>
      </c>
      <c r="B279" t="s">
        <v>7</v>
      </c>
      <c r="C279" t="s">
        <v>13</v>
      </c>
      <c r="D279" s="2">
        <v>44692</v>
      </c>
      <c r="E279" s="1" t="str">
        <f>TEXT(Table1[[#This Row],[Date]],"ddd")</f>
        <v>Wed</v>
      </c>
      <c r="F279" s="1" t="str">
        <f>TEXT(Table1[[#This Row],[Date]],"mmm")</f>
        <v>May</v>
      </c>
      <c r="G279" s="7">
        <v>6272</v>
      </c>
      <c r="H279">
        <v>86</v>
      </c>
    </row>
    <row r="280" spans="1:8" x14ac:dyDescent="0.25">
      <c r="A280" t="s">
        <v>31</v>
      </c>
      <c r="B280" t="s">
        <v>26</v>
      </c>
      <c r="C280" t="s">
        <v>37</v>
      </c>
      <c r="D280" s="2">
        <v>44588</v>
      </c>
      <c r="E280" s="1" t="str">
        <f>TEXT(Table1[[#This Row],[Date]],"ddd")</f>
        <v>Thu</v>
      </c>
      <c r="F280" s="1" t="str">
        <f>TEXT(Table1[[#This Row],[Date]],"mmm")</f>
        <v>Jan</v>
      </c>
      <c r="G280" s="7">
        <v>4389</v>
      </c>
      <c r="H280">
        <v>7</v>
      </c>
    </row>
    <row r="281" spans="1:8" x14ac:dyDescent="0.25">
      <c r="A281" t="s">
        <v>31</v>
      </c>
      <c r="B281" t="s">
        <v>10</v>
      </c>
      <c r="C281" t="s">
        <v>27</v>
      </c>
      <c r="D281" s="2">
        <v>44739</v>
      </c>
      <c r="E281" s="1" t="str">
        <f>TEXT(Table1[[#This Row],[Date]],"ddd")</f>
        <v>Mon</v>
      </c>
      <c r="F281" s="1" t="str">
        <f>TEXT(Table1[[#This Row],[Date]],"mmm")</f>
        <v>Jun</v>
      </c>
      <c r="G281" s="7">
        <v>3122</v>
      </c>
      <c r="H281">
        <v>149</v>
      </c>
    </row>
    <row r="282" spans="1:8" x14ac:dyDescent="0.25">
      <c r="A282" t="s">
        <v>55</v>
      </c>
      <c r="B282" t="s">
        <v>10</v>
      </c>
      <c r="C282" t="s">
        <v>16</v>
      </c>
      <c r="D282" s="2">
        <v>44776</v>
      </c>
      <c r="E282" s="1" t="str">
        <f>TEXT(Table1[[#This Row],[Date]],"ddd")</f>
        <v>Wed</v>
      </c>
      <c r="F282" s="1" t="str">
        <f>TEXT(Table1[[#This Row],[Date]],"mmm")</f>
        <v>Aug</v>
      </c>
      <c r="G282" s="7">
        <v>8043</v>
      </c>
      <c r="H282">
        <v>18</v>
      </c>
    </row>
    <row r="283" spans="1:8" x14ac:dyDescent="0.25">
      <c r="A283" t="s">
        <v>46</v>
      </c>
      <c r="B283" t="s">
        <v>21</v>
      </c>
      <c r="C283" t="s">
        <v>8</v>
      </c>
      <c r="D283" s="2">
        <v>44792</v>
      </c>
      <c r="E283" s="1" t="str">
        <f>TEXT(Table1[[#This Row],[Date]],"ddd")</f>
        <v>Fri</v>
      </c>
      <c r="F283" s="1" t="str">
        <f>TEXT(Table1[[#This Row],[Date]],"mmm")</f>
        <v>Aug</v>
      </c>
      <c r="G283" s="7">
        <v>11662</v>
      </c>
      <c r="H283">
        <v>242</v>
      </c>
    </row>
    <row r="284" spans="1:8" x14ac:dyDescent="0.25">
      <c r="A284" t="s">
        <v>46</v>
      </c>
      <c r="B284" t="s">
        <v>15</v>
      </c>
      <c r="C284" t="s">
        <v>42</v>
      </c>
      <c r="D284" s="2">
        <v>44727</v>
      </c>
      <c r="E284" s="1" t="str">
        <f>TEXT(Table1[[#This Row],[Date]],"ddd")</f>
        <v>Wed</v>
      </c>
      <c r="F284" s="1" t="str">
        <f>TEXT(Table1[[#This Row],[Date]],"mmm")</f>
        <v>Jun</v>
      </c>
      <c r="G284" s="7">
        <v>392</v>
      </c>
      <c r="H284">
        <v>102</v>
      </c>
    </row>
    <row r="285" spans="1:8" x14ac:dyDescent="0.25">
      <c r="A285" t="s">
        <v>43</v>
      </c>
      <c r="B285" t="s">
        <v>7</v>
      </c>
      <c r="C285" t="s">
        <v>13</v>
      </c>
      <c r="D285" s="2">
        <v>44599</v>
      </c>
      <c r="E285" s="1" t="str">
        <f>TEXT(Table1[[#This Row],[Date]],"ddd")</f>
        <v>Mon</v>
      </c>
      <c r="F285" s="1" t="str">
        <f>TEXT(Table1[[#This Row],[Date]],"mmm")</f>
        <v>Feb</v>
      </c>
      <c r="G285" s="7">
        <v>8925</v>
      </c>
      <c r="H285">
        <v>158</v>
      </c>
    </row>
    <row r="286" spans="1:8" x14ac:dyDescent="0.25">
      <c r="A286" t="s">
        <v>31</v>
      </c>
      <c r="B286" t="s">
        <v>15</v>
      </c>
      <c r="C286" t="s">
        <v>47</v>
      </c>
      <c r="D286" s="2">
        <v>44750</v>
      </c>
      <c r="E286" s="1" t="str">
        <f>TEXT(Table1[[#This Row],[Date]],"ddd")</f>
        <v>Fri</v>
      </c>
      <c r="F286" s="1" t="str">
        <f>TEXT(Table1[[#This Row],[Date]],"mmm")</f>
        <v>Jul</v>
      </c>
      <c r="G286" s="7">
        <v>7294</v>
      </c>
      <c r="H286">
        <v>128</v>
      </c>
    </row>
    <row r="287" spans="1:8" x14ac:dyDescent="0.25">
      <c r="A287" t="s">
        <v>43</v>
      </c>
      <c r="B287" t="s">
        <v>10</v>
      </c>
      <c r="C287" t="s">
        <v>37</v>
      </c>
      <c r="D287" s="2">
        <v>44672</v>
      </c>
      <c r="E287" s="1" t="str">
        <f>TEXT(Table1[[#This Row],[Date]],"ddd")</f>
        <v>Thu</v>
      </c>
      <c r="F287" s="1" t="str">
        <f>TEXT(Table1[[#This Row],[Date]],"mmm")</f>
        <v>Apr</v>
      </c>
      <c r="G287" s="7">
        <v>1526</v>
      </c>
      <c r="H287">
        <v>96</v>
      </c>
    </row>
    <row r="288" spans="1:8" x14ac:dyDescent="0.25">
      <c r="A288" t="s">
        <v>55</v>
      </c>
      <c r="B288" t="s">
        <v>7</v>
      </c>
      <c r="C288" t="s">
        <v>8</v>
      </c>
      <c r="D288" s="2">
        <v>44659</v>
      </c>
      <c r="E288" s="1" t="str">
        <f>TEXT(Table1[[#This Row],[Date]],"ddd")</f>
        <v>Fri</v>
      </c>
      <c r="F288" s="1" t="str">
        <f>TEXT(Table1[[#This Row],[Date]],"mmm")</f>
        <v>Apr</v>
      </c>
      <c r="G288" s="7">
        <v>2688</v>
      </c>
      <c r="H288">
        <v>209</v>
      </c>
    </row>
    <row r="289" spans="1:8" x14ac:dyDescent="0.25">
      <c r="A289" t="s">
        <v>40</v>
      </c>
      <c r="B289" t="s">
        <v>15</v>
      </c>
      <c r="C289" t="s">
        <v>22</v>
      </c>
      <c r="D289" s="2">
        <v>44792</v>
      </c>
      <c r="E289" s="1" t="str">
        <f>TEXT(Table1[[#This Row],[Date]],"ddd")</f>
        <v>Fri</v>
      </c>
      <c r="F289" s="1" t="str">
        <f>TEXT(Table1[[#This Row],[Date]],"mmm")</f>
        <v>Aug</v>
      </c>
      <c r="G289" s="7">
        <v>14889</v>
      </c>
      <c r="H289">
        <v>52</v>
      </c>
    </row>
    <row r="290" spans="1:8" x14ac:dyDescent="0.25">
      <c r="A290" t="s">
        <v>14</v>
      </c>
      <c r="B290" t="s">
        <v>10</v>
      </c>
      <c r="C290" t="s">
        <v>42</v>
      </c>
      <c r="D290" s="2">
        <v>44685</v>
      </c>
      <c r="E290" s="1" t="str">
        <f>TEXT(Table1[[#This Row],[Date]],"ddd")</f>
        <v>Wed</v>
      </c>
      <c r="F290" s="1" t="str">
        <f>TEXT(Table1[[#This Row],[Date]],"mmm")</f>
        <v>May</v>
      </c>
      <c r="G290" s="7">
        <v>2912</v>
      </c>
      <c r="H290">
        <v>55</v>
      </c>
    </row>
    <row r="291" spans="1:8" x14ac:dyDescent="0.25">
      <c r="A291" t="s">
        <v>28</v>
      </c>
      <c r="B291" t="s">
        <v>26</v>
      </c>
      <c r="C291" t="s">
        <v>11</v>
      </c>
      <c r="D291" s="2">
        <v>44692</v>
      </c>
      <c r="E291" s="1" t="str">
        <f>TEXT(Table1[[#This Row],[Date]],"ddd")</f>
        <v>Wed</v>
      </c>
      <c r="F291" s="1" t="str">
        <f>TEXT(Table1[[#This Row],[Date]],"mmm")</f>
        <v>May</v>
      </c>
      <c r="G291" s="7">
        <v>2632</v>
      </c>
      <c r="H291">
        <v>108</v>
      </c>
    </row>
    <row r="292" spans="1:8" x14ac:dyDescent="0.25">
      <c r="A292" t="s">
        <v>28</v>
      </c>
      <c r="B292" t="s">
        <v>26</v>
      </c>
      <c r="C292" t="s">
        <v>30</v>
      </c>
      <c r="D292" s="2">
        <v>44642</v>
      </c>
      <c r="E292" s="1" t="str">
        <f>TEXT(Table1[[#This Row],[Date]],"ddd")</f>
        <v>Tue</v>
      </c>
      <c r="F292" s="1" t="str">
        <f>TEXT(Table1[[#This Row],[Date]],"mmm")</f>
        <v>Mar</v>
      </c>
      <c r="G292" s="7">
        <v>6328</v>
      </c>
      <c r="H292">
        <v>51</v>
      </c>
    </row>
    <row r="293" spans="1:8" x14ac:dyDescent="0.25">
      <c r="A293" t="s">
        <v>43</v>
      </c>
      <c r="B293" t="s">
        <v>29</v>
      </c>
      <c r="C293" t="s">
        <v>39</v>
      </c>
      <c r="D293" s="2">
        <v>44783</v>
      </c>
      <c r="E293" s="1" t="str">
        <f>TEXT(Table1[[#This Row],[Date]],"ddd")</f>
        <v>Wed</v>
      </c>
      <c r="F293" s="1" t="str">
        <f>TEXT(Table1[[#This Row],[Date]],"mmm")</f>
        <v>Aug</v>
      </c>
      <c r="G293" s="7">
        <v>2527</v>
      </c>
      <c r="H293">
        <v>216</v>
      </c>
    </row>
    <row r="294" spans="1:8" x14ac:dyDescent="0.25">
      <c r="A294" t="s">
        <v>43</v>
      </c>
      <c r="B294" t="s">
        <v>26</v>
      </c>
      <c r="C294" t="s">
        <v>42</v>
      </c>
      <c r="D294" s="2">
        <v>44685</v>
      </c>
      <c r="E294" s="1" t="str">
        <f>TEXT(Table1[[#This Row],[Date]],"ddd")</f>
        <v>Wed</v>
      </c>
      <c r="F294" s="1" t="str">
        <f>TEXT(Table1[[#This Row],[Date]],"mmm")</f>
        <v>May</v>
      </c>
      <c r="G294" s="7">
        <v>1414</v>
      </c>
      <c r="H294">
        <v>318</v>
      </c>
    </row>
    <row r="295" spans="1:8" x14ac:dyDescent="0.25">
      <c r="A295" t="s">
        <v>49</v>
      </c>
      <c r="B295" t="s">
        <v>26</v>
      </c>
      <c r="C295" t="s">
        <v>18</v>
      </c>
      <c r="D295" s="2">
        <v>44791</v>
      </c>
      <c r="E295" s="1" t="str">
        <f>TEXT(Table1[[#This Row],[Date]],"ddd")</f>
        <v>Thu</v>
      </c>
      <c r="F295" s="1" t="str">
        <f>TEXT(Table1[[#This Row],[Date]],"mmm")</f>
        <v>Aug</v>
      </c>
      <c r="G295" s="7">
        <v>7714</v>
      </c>
      <c r="H295">
        <v>238</v>
      </c>
    </row>
    <row r="296" spans="1:8" x14ac:dyDescent="0.25">
      <c r="A296" t="s">
        <v>54</v>
      </c>
      <c r="B296" t="s">
        <v>29</v>
      </c>
      <c r="C296" t="s">
        <v>51</v>
      </c>
      <c r="D296" s="2">
        <v>44776</v>
      </c>
      <c r="E296" s="1" t="str">
        <f>TEXT(Table1[[#This Row],[Date]],"ddd")</f>
        <v>Wed</v>
      </c>
      <c r="F296" s="1" t="str">
        <f>TEXT(Table1[[#This Row],[Date]],"mmm")</f>
        <v>Aug</v>
      </c>
      <c r="G296" s="7">
        <v>4347</v>
      </c>
      <c r="H296">
        <v>238</v>
      </c>
    </row>
    <row r="297" spans="1:8" x14ac:dyDescent="0.25">
      <c r="A297" t="s">
        <v>33</v>
      </c>
      <c r="B297" t="s">
        <v>21</v>
      </c>
      <c r="C297" t="s">
        <v>37</v>
      </c>
      <c r="D297" s="2">
        <v>44575</v>
      </c>
      <c r="E297" s="1" t="str">
        <f>TEXT(Table1[[#This Row],[Date]],"ddd")</f>
        <v>Fri</v>
      </c>
      <c r="F297" s="1" t="str">
        <f>TEXT(Table1[[#This Row],[Date]],"mmm")</f>
        <v>Jan</v>
      </c>
      <c r="G297" s="7">
        <v>7490</v>
      </c>
      <c r="H297">
        <v>315</v>
      </c>
    </row>
    <row r="298" spans="1:8" x14ac:dyDescent="0.25">
      <c r="A298" t="s">
        <v>53</v>
      </c>
      <c r="B298" t="s">
        <v>15</v>
      </c>
      <c r="C298" t="s">
        <v>52</v>
      </c>
      <c r="D298" s="2">
        <v>44659</v>
      </c>
      <c r="E298" s="1" t="str">
        <f>TEXT(Table1[[#This Row],[Date]],"ddd")</f>
        <v>Fri</v>
      </c>
      <c r="F298" s="1" t="str">
        <f>TEXT(Table1[[#This Row],[Date]],"mmm")</f>
        <v>Apr</v>
      </c>
      <c r="G298" s="7">
        <v>2058</v>
      </c>
      <c r="H298">
        <v>72</v>
      </c>
    </row>
    <row r="299" spans="1:8" x14ac:dyDescent="0.25">
      <c r="A299" t="s">
        <v>49</v>
      </c>
      <c r="B299" t="s">
        <v>7</v>
      </c>
      <c r="C299" t="s">
        <v>27</v>
      </c>
      <c r="D299" s="2">
        <v>44774</v>
      </c>
      <c r="E299" s="1" t="str">
        <f>TEXT(Table1[[#This Row],[Date]],"ddd")</f>
        <v>Mon</v>
      </c>
      <c r="F299" s="1" t="str">
        <f>TEXT(Table1[[#This Row],[Date]],"mmm")</f>
        <v>Aug</v>
      </c>
      <c r="G299" s="7">
        <v>3640</v>
      </c>
      <c r="H299">
        <v>3</v>
      </c>
    </row>
    <row r="300" spans="1:8" x14ac:dyDescent="0.25">
      <c r="A300" t="s">
        <v>43</v>
      </c>
      <c r="B300" t="s">
        <v>29</v>
      </c>
      <c r="C300" t="s">
        <v>30</v>
      </c>
      <c r="D300" s="2">
        <v>44635</v>
      </c>
      <c r="E300" s="1" t="str">
        <f>TEXT(Table1[[#This Row],[Date]],"ddd")</f>
        <v>Tue</v>
      </c>
      <c r="F300" s="1" t="str">
        <f>TEXT(Table1[[#This Row],[Date]],"mmm")</f>
        <v>Mar</v>
      </c>
      <c r="G300" s="7">
        <v>455</v>
      </c>
      <c r="H300">
        <v>45</v>
      </c>
    </row>
    <row r="301" spans="1:8" x14ac:dyDescent="0.25">
      <c r="A301" t="s">
        <v>31</v>
      </c>
      <c r="B301" t="s">
        <v>10</v>
      </c>
      <c r="C301" t="s">
        <v>8</v>
      </c>
      <c r="D301" s="2">
        <v>44757</v>
      </c>
      <c r="E301" s="1" t="str">
        <f>TEXT(Table1[[#This Row],[Date]],"ddd")</f>
        <v>Fri</v>
      </c>
      <c r="F301" s="1" t="str">
        <f>TEXT(Table1[[#This Row],[Date]],"mmm")</f>
        <v>Jul</v>
      </c>
      <c r="G301" s="7">
        <v>10990</v>
      </c>
      <c r="H301">
        <v>184</v>
      </c>
    </row>
    <row r="302" spans="1:8" x14ac:dyDescent="0.25">
      <c r="A302" t="s">
        <v>25</v>
      </c>
      <c r="B302" t="s">
        <v>21</v>
      </c>
      <c r="C302" t="s">
        <v>47</v>
      </c>
      <c r="D302" s="2">
        <v>44574</v>
      </c>
      <c r="E302" s="1" t="str">
        <f>TEXT(Table1[[#This Row],[Date]],"ddd")</f>
        <v>Thu</v>
      </c>
      <c r="F302" s="1" t="str">
        <f>TEXT(Table1[[#This Row],[Date]],"mmm")</f>
        <v>Jan</v>
      </c>
      <c r="G302" s="7">
        <v>5558</v>
      </c>
      <c r="H302">
        <v>127</v>
      </c>
    </row>
    <row r="303" spans="1:8" x14ac:dyDescent="0.25">
      <c r="A303" t="s">
        <v>28</v>
      </c>
      <c r="B303" t="s">
        <v>15</v>
      </c>
      <c r="C303" t="s">
        <v>11</v>
      </c>
      <c r="D303" s="2">
        <v>44799</v>
      </c>
      <c r="E303" s="1" t="str">
        <f>TEXT(Table1[[#This Row],[Date]],"ddd")</f>
        <v>Fri</v>
      </c>
      <c r="F303" s="1" t="str">
        <f>TEXT(Table1[[#This Row],[Date]],"mmm")</f>
        <v>Aug</v>
      </c>
      <c r="G303" s="7">
        <v>2541</v>
      </c>
      <c r="H303">
        <v>53</v>
      </c>
    </row>
    <row r="304" spans="1:8" x14ac:dyDescent="0.25">
      <c r="A304" t="s">
        <v>55</v>
      </c>
      <c r="B304" t="s">
        <v>29</v>
      </c>
      <c r="C304" t="s">
        <v>30</v>
      </c>
      <c r="D304" s="2">
        <v>44571</v>
      </c>
      <c r="E304" s="1" t="str">
        <f>TEXT(Table1[[#This Row],[Date]],"ddd")</f>
        <v>Mon</v>
      </c>
      <c r="F304" s="1" t="str">
        <f>TEXT(Table1[[#This Row],[Date]],"mmm")</f>
        <v>Jan</v>
      </c>
      <c r="G304" s="7">
        <v>1876</v>
      </c>
      <c r="H304">
        <v>172</v>
      </c>
    </row>
    <row r="305" spans="1:8" x14ac:dyDescent="0.25">
      <c r="A305" t="s">
        <v>12</v>
      </c>
      <c r="B305" t="s">
        <v>15</v>
      </c>
      <c r="C305" t="s">
        <v>44</v>
      </c>
      <c r="D305" s="2">
        <v>44692</v>
      </c>
      <c r="E305" s="1" t="str">
        <f>TEXT(Table1[[#This Row],[Date]],"ddd")</f>
        <v>Wed</v>
      </c>
      <c r="F305" s="1" t="str">
        <f>TEXT(Table1[[#This Row],[Date]],"mmm")</f>
        <v>May</v>
      </c>
      <c r="G305" s="7">
        <v>5523</v>
      </c>
      <c r="H305">
        <v>87</v>
      </c>
    </row>
    <row r="306" spans="1:8" x14ac:dyDescent="0.25">
      <c r="A306" t="s">
        <v>34</v>
      </c>
      <c r="B306" t="s">
        <v>21</v>
      </c>
      <c r="C306" t="s">
        <v>11</v>
      </c>
      <c r="D306" s="2">
        <v>44803</v>
      </c>
      <c r="E306" s="1" t="str">
        <f>TEXT(Table1[[#This Row],[Date]],"ddd")</f>
        <v>Tue</v>
      </c>
      <c r="F306" s="1" t="str">
        <f>TEXT(Table1[[#This Row],[Date]],"mmm")</f>
        <v>Aug</v>
      </c>
      <c r="G306" s="7">
        <v>11200</v>
      </c>
      <c r="H306">
        <v>22</v>
      </c>
    </row>
    <row r="307" spans="1:8" x14ac:dyDescent="0.25">
      <c r="A307" t="s">
        <v>41</v>
      </c>
      <c r="B307" t="s">
        <v>26</v>
      </c>
      <c r="C307" t="s">
        <v>57</v>
      </c>
      <c r="D307" s="2">
        <v>44763</v>
      </c>
      <c r="E307" s="1" t="str">
        <f>TEXT(Table1[[#This Row],[Date]],"ddd")</f>
        <v>Thu</v>
      </c>
      <c r="F307" s="1" t="str">
        <f>TEXT(Table1[[#This Row],[Date]],"mmm")</f>
        <v>Jul</v>
      </c>
      <c r="G307" s="7">
        <v>5593</v>
      </c>
      <c r="H307">
        <v>122</v>
      </c>
    </row>
    <row r="308" spans="1:8" x14ac:dyDescent="0.25">
      <c r="A308" t="s">
        <v>28</v>
      </c>
      <c r="B308" t="s">
        <v>15</v>
      </c>
      <c r="C308" t="s">
        <v>47</v>
      </c>
      <c r="D308" s="2">
        <v>44774</v>
      </c>
      <c r="E308" s="1" t="str">
        <f>TEXT(Table1[[#This Row],[Date]],"ddd")</f>
        <v>Mon</v>
      </c>
      <c r="F308" s="1" t="str">
        <f>TEXT(Table1[[#This Row],[Date]],"mmm")</f>
        <v>Aug</v>
      </c>
      <c r="G308" s="7">
        <v>7882</v>
      </c>
      <c r="H308">
        <v>125</v>
      </c>
    </row>
    <row r="309" spans="1:8" x14ac:dyDescent="0.25">
      <c r="A309" t="s">
        <v>23</v>
      </c>
      <c r="B309" t="s">
        <v>29</v>
      </c>
      <c r="C309" t="s">
        <v>11</v>
      </c>
      <c r="D309" s="2">
        <v>44609</v>
      </c>
      <c r="E309" s="1" t="str">
        <f>TEXT(Table1[[#This Row],[Date]],"ddd")</f>
        <v>Thu</v>
      </c>
      <c r="F309" s="1" t="str">
        <f>TEXT(Table1[[#This Row],[Date]],"mmm")</f>
        <v>Feb</v>
      </c>
      <c r="G309" s="7">
        <v>10241</v>
      </c>
      <c r="H309">
        <v>259</v>
      </c>
    </row>
    <row r="310" spans="1:8" x14ac:dyDescent="0.25">
      <c r="A310" t="s">
        <v>23</v>
      </c>
      <c r="B310" t="s">
        <v>15</v>
      </c>
      <c r="C310" t="s">
        <v>32</v>
      </c>
      <c r="D310" s="2">
        <v>44769</v>
      </c>
      <c r="E310" s="1" t="str">
        <f>TEXT(Table1[[#This Row],[Date]],"ddd")</f>
        <v>Wed</v>
      </c>
      <c r="F310" s="1" t="str">
        <f>TEXT(Table1[[#This Row],[Date]],"mmm")</f>
        <v>Jul</v>
      </c>
      <c r="G310" s="7">
        <v>6832</v>
      </c>
      <c r="H310">
        <v>156</v>
      </c>
    </row>
    <row r="311" spans="1:8" x14ac:dyDescent="0.25">
      <c r="A311" t="s">
        <v>54</v>
      </c>
      <c r="B311" t="s">
        <v>26</v>
      </c>
      <c r="C311" t="s">
        <v>27</v>
      </c>
      <c r="D311" s="2">
        <v>44615</v>
      </c>
      <c r="E311" s="1" t="str">
        <f>TEXT(Table1[[#This Row],[Date]],"ddd")</f>
        <v>Wed</v>
      </c>
      <c r="F311" s="1" t="str">
        <f>TEXT(Table1[[#This Row],[Date]],"mmm")</f>
        <v>Feb</v>
      </c>
      <c r="G311" s="7">
        <v>1379</v>
      </c>
      <c r="H311">
        <v>107</v>
      </c>
    </row>
    <row r="312" spans="1:8" x14ac:dyDescent="0.25">
      <c r="A312" t="s">
        <v>24</v>
      </c>
      <c r="B312" t="s">
        <v>15</v>
      </c>
      <c r="C312" t="s">
        <v>22</v>
      </c>
      <c r="D312" s="2">
        <v>44642</v>
      </c>
      <c r="E312" s="1" t="str">
        <f>TEXT(Table1[[#This Row],[Date]],"ddd")</f>
        <v>Tue</v>
      </c>
      <c r="F312" s="1" t="str">
        <f>TEXT(Table1[[#This Row],[Date]],"mmm")</f>
        <v>Mar</v>
      </c>
      <c r="G312" s="7">
        <v>3010</v>
      </c>
      <c r="H312">
        <v>40</v>
      </c>
    </row>
    <row r="313" spans="1:8" x14ac:dyDescent="0.25">
      <c r="A313" t="s">
        <v>43</v>
      </c>
      <c r="B313" t="s">
        <v>10</v>
      </c>
      <c r="C313" t="s">
        <v>18</v>
      </c>
      <c r="D313" s="2">
        <v>44735</v>
      </c>
      <c r="E313" s="1" t="str">
        <f>TEXT(Table1[[#This Row],[Date]],"ddd")</f>
        <v>Thu</v>
      </c>
      <c r="F313" s="1" t="str">
        <f>TEXT(Table1[[#This Row],[Date]],"mmm")</f>
        <v>Jun</v>
      </c>
      <c r="G313" s="7">
        <v>6888</v>
      </c>
      <c r="H313">
        <v>311</v>
      </c>
    </row>
    <row r="314" spans="1:8" x14ac:dyDescent="0.25">
      <c r="A314" t="s">
        <v>38</v>
      </c>
      <c r="B314" t="s">
        <v>7</v>
      </c>
      <c r="C314" t="s">
        <v>44</v>
      </c>
      <c r="D314" s="2">
        <v>44593</v>
      </c>
      <c r="E314" s="1" t="str">
        <f>TEXT(Table1[[#This Row],[Date]],"ddd")</f>
        <v>Tue</v>
      </c>
      <c r="F314" s="1" t="str">
        <f>TEXT(Table1[[#This Row],[Date]],"mmm")</f>
        <v>Feb</v>
      </c>
      <c r="G314" s="7">
        <v>1540</v>
      </c>
      <c r="H314">
        <v>73</v>
      </c>
    </row>
    <row r="315" spans="1:8" x14ac:dyDescent="0.25">
      <c r="A315" t="s">
        <v>49</v>
      </c>
      <c r="B315" t="s">
        <v>15</v>
      </c>
      <c r="C315" t="s">
        <v>20</v>
      </c>
      <c r="D315" s="2">
        <v>44622</v>
      </c>
      <c r="E315" s="1" t="str">
        <f>TEXT(Table1[[#This Row],[Date]],"ddd")</f>
        <v>Wed</v>
      </c>
      <c r="F315" s="1" t="str">
        <f>TEXT(Table1[[#This Row],[Date]],"mmm")</f>
        <v>Mar</v>
      </c>
      <c r="G315" s="7">
        <v>6916</v>
      </c>
      <c r="H315">
        <v>288</v>
      </c>
    </row>
    <row r="316" spans="1:8" x14ac:dyDescent="0.25">
      <c r="A316" t="s">
        <v>12</v>
      </c>
      <c r="B316" t="s">
        <v>7</v>
      </c>
      <c r="C316" t="s">
        <v>42</v>
      </c>
      <c r="D316" s="2">
        <v>44657</v>
      </c>
      <c r="E316" s="1" t="str">
        <f>TEXT(Table1[[#This Row],[Date]],"ddd")</f>
        <v>Wed</v>
      </c>
      <c r="F316" s="1" t="str">
        <f>TEXT(Table1[[#This Row],[Date]],"mmm")</f>
        <v>Apr</v>
      </c>
      <c r="G316" s="7">
        <v>1232</v>
      </c>
      <c r="H316">
        <v>86</v>
      </c>
    </row>
    <row r="317" spans="1:8" x14ac:dyDescent="0.25">
      <c r="A317" t="s">
        <v>19</v>
      </c>
      <c r="B317" t="s">
        <v>15</v>
      </c>
      <c r="C317" t="s">
        <v>51</v>
      </c>
      <c r="D317" s="2">
        <v>44637</v>
      </c>
      <c r="E317" s="1" t="str">
        <f>TEXT(Table1[[#This Row],[Date]],"ddd")</f>
        <v>Thu</v>
      </c>
      <c r="F317" s="1" t="str">
        <f>TEXT(Table1[[#This Row],[Date]],"mmm")</f>
        <v>Mar</v>
      </c>
      <c r="G317" s="7">
        <v>602</v>
      </c>
      <c r="H317">
        <v>72</v>
      </c>
    </row>
    <row r="318" spans="1:8" x14ac:dyDescent="0.25">
      <c r="A318" t="s">
        <v>38</v>
      </c>
      <c r="B318" t="s">
        <v>7</v>
      </c>
      <c r="C318" t="s">
        <v>42</v>
      </c>
      <c r="D318" s="2">
        <v>44736</v>
      </c>
      <c r="E318" s="1" t="str">
        <f>TEXT(Table1[[#This Row],[Date]],"ddd")</f>
        <v>Fri</v>
      </c>
      <c r="F318" s="1" t="str">
        <f>TEXT(Table1[[#This Row],[Date]],"mmm")</f>
        <v>Jun</v>
      </c>
      <c r="G318" s="7">
        <v>10927</v>
      </c>
      <c r="H318">
        <v>136</v>
      </c>
    </row>
    <row r="319" spans="1:8" x14ac:dyDescent="0.25">
      <c r="A319" t="s">
        <v>25</v>
      </c>
      <c r="B319" t="s">
        <v>29</v>
      </c>
      <c r="C319" t="s">
        <v>22</v>
      </c>
      <c r="D319" s="2">
        <v>44761</v>
      </c>
      <c r="E319" s="1" t="str">
        <f>TEXT(Table1[[#This Row],[Date]],"ddd")</f>
        <v>Tue</v>
      </c>
      <c r="F319" s="1" t="str">
        <f>TEXT(Table1[[#This Row],[Date]],"mmm")</f>
        <v>Jul</v>
      </c>
      <c r="G319" s="7">
        <v>10185</v>
      </c>
      <c r="H319">
        <v>303</v>
      </c>
    </row>
    <row r="320" spans="1:8" x14ac:dyDescent="0.25">
      <c r="A320" t="s">
        <v>38</v>
      </c>
      <c r="B320" t="s">
        <v>26</v>
      </c>
      <c r="C320" t="s">
        <v>39</v>
      </c>
      <c r="D320" s="2">
        <v>44753</v>
      </c>
      <c r="E320" s="1" t="str">
        <f>TEXT(Table1[[#This Row],[Date]],"ddd")</f>
        <v>Mon</v>
      </c>
      <c r="F320" s="1" t="str">
        <f>TEXT(Table1[[#This Row],[Date]],"mmm")</f>
        <v>Jul</v>
      </c>
      <c r="G320" s="7">
        <v>1603</v>
      </c>
      <c r="H320">
        <v>264</v>
      </c>
    </row>
    <row r="321" spans="1:8" x14ac:dyDescent="0.25">
      <c r="A321" t="s">
        <v>23</v>
      </c>
      <c r="B321" t="s">
        <v>10</v>
      </c>
      <c r="C321" t="s">
        <v>47</v>
      </c>
      <c r="D321" s="2">
        <v>44574</v>
      </c>
      <c r="E321" s="1" t="str">
        <f>TEXT(Table1[[#This Row],[Date]],"ddd")</f>
        <v>Thu</v>
      </c>
      <c r="F321" s="1" t="str">
        <f>TEXT(Table1[[#This Row],[Date]],"mmm")</f>
        <v>Jan</v>
      </c>
      <c r="G321" s="7">
        <v>2170</v>
      </c>
      <c r="H321">
        <v>218</v>
      </c>
    </row>
    <row r="322" spans="1:8" x14ac:dyDescent="0.25">
      <c r="A322" t="s">
        <v>17</v>
      </c>
      <c r="B322" t="s">
        <v>21</v>
      </c>
      <c r="C322" t="s">
        <v>16</v>
      </c>
      <c r="D322" s="2">
        <v>44749</v>
      </c>
      <c r="E322" s="1" t="str">
        <f>TEXT(Table1[[#This Row],[Date]],"ddd")</f>
        <v>Thu</v>
      </c>
      <c r="F322" s="1" t="str">
        <f>TEXT(Table1[[#This Row],[Date]],"mmm")</f>
        <v>Jul</v>
      </c>
      <c r="G322" s="7">
        <v>8673</v>
      </c>
      <c r="H322">
        <v>60</v>
      </c>
    </row>
    <row r="323" spans="1:8" x14ac:dyDescent="0.25">
      <c r="A323" t="s">
        <v>14</v>
      </c>
      <c r="B323" t="s">
        <v>10</v>
      </c>
      <c r="C323" t="s">
        <v>11</v>
      </c>
      <c r="D323" s="2">
        <v>44706</v>
      </c>
      <c r="E323" s="1" t="str">
        <f>TEXT(Table1[[#This Row],[Date]],"ddd")</f>
        <v>Wed</v>
      </c>
      <c r="F323" s="1" t="str">
        <f>TEXT(Table1[[#This Row],[Date]],"mmm")</f>
        <v>May</v>
      </c>
      <c r="G323" s="7">
        <v>4760</v>
      </c>
      <c r="H323">
        <v>418</v>
      </c>
    </row>
    <row r="324" spans="1:8" x14ac:dyDescent="0.25">
      <c r="A324" t="s">
        <v>33</v>
      </c>
      <c r="B324" t="s">
        <v>10</v>
      </c>
      <c r="C324" t="s">
        <v>42</v>
      </c>
      <c r="D324" s="2">
        <v>44664</v>
      </c>
      <c r="E324" s="1" t="str">
        <f>TEXT(Table1[[#This Row],[Date]],"ddd")</f>
        <v>Wed</v>
      </c>
      <c r="F324" s="1" t="str">
        <f>TEXT(Table1[[#This Row],[Date]],"mmm")</f>
        <v>Apr</v>
      </c>
      <c r="G324" s="7">
        <v>4753</v>
      </c>
      <c r="H324">
        <v>151</v>
      </c>
    </row>
    <row r="325" spans="1:8" x14ac:dyDescent="0.25">
      <c r="A325" t="s">
        <v>48</v>
      </c>
      <c r="B325" t="s">
        <v>21</v>
      </c>
      <c r="C325" t="s">
        <v>22</v>
      </c>
      <c r="D325" s="2">
        <v>44622</v>
      </c>
      <c r="E325" s="1" t="str">
        <f>TEXT(Table1[[#This Row],[Date]],"ddd")</f>
        <v>Wed</v>
      </c>
      <c r="F325" s="1" t="str">
        <f>TEXT(Table1[[#This Row],[Date]],"mmm")</f>
        <v>Mar</v>
      </c>
      <c r="G325" s="7">
        <v>3374</v>
      </c>
      <c r="H325">
        <v>202</v>
      </c>
    </row>
    <row r="326" spans="1:8" x14ac:dyDescent="0.25">
      <c r="A326" t="s">
        <v>19</v>
      </c>
      <c r="B326" t="s">
        <v>29</v>
      </c>
      <c r="C326" t="s">
        <v>51</v>
      </c>
      <c r="D326" s="2">
        <v>44735</v>
      </c>
      <c r="E326" s="1" t="str">
        <f>TEXT(Table1[[#This Row],[Date]],"ddd")</f>
        <v>Thu</v>
      </c>
      <c r="F326" s="1" t="str">
        <f>TEXT(Table1[[#This Row],[Date]],"mmm")</f>
        <v>Jun</v>
      </c>
      <c r="G326" s="7">
        <v>2058</v>
      </c>
      <c r="H326">
        <v>126</v>
      </c>
    </row>
    <row r="327" spans="1:8" x14ac:dyDescent="0.25">
      <c r="A327" t="s">
        <v>49</v>
      </c>
      <c r="B327" t="s">
        <v>26</v>
      </c>
      <c r="C327" t="s">
        <v>32</v>
      </c>
      <c r="D327" s="2">
        <v>44768</v>
      </c>
      <c r="E327" s="1" t="str">
        <f>TEXT(Table1[[#This Row],[Date]],"ddd")</f>
        <v>Tue</v>
      </c>
      <c r="F327" s="1" t="str">
        <f>TEXT(Table1[[#This Row],[Date]],"mmm")</f>
        <v>Jul</v>
      </c>
      <c r="G327" s="7">
        <v>6454</v>
      </c>
      <c r="H327">
        <v>160</v>
      </c>
    </row>
    <row r="328" spans="1:8" x14ac:dyDescent="0.25">
      <c r="A328" t="s">
        <v>9</v>
      </c>
      <c r="B328" t="s">
        <v>29</v>
      </c>
      <c r="C328" t="s">
        <v>44</v>
      </c>
      <c r="D328" s="2">
        <v>44642</v>
      </c>
      <c r="E328" s="1" t="str">
        <f>TEXT(Table1[[#This Row],[Date]],"ddd")</f>
        <v>Tue</v>
      </c>
      <c r="F328" s="1" t="str">
        <f>TEXT(Table1[[#This Row],[Date]],"mmm")</f>
        <v>Mar</v>
      </c>
      <c r="G328" s="7">
        <v>420</v>
      </c>
      <c r="H328">
        <v>3</v>
      </c>
    </row>
    <row r="329" spans="1:8" x14ac:dyDescent="0.25">
      <c r="A329" t="s">
        <v>24</v>
      </c>
      <c r="B329" t="s">
        <v>26</v>
      </c>
      <c r="C329" t="s">
        <v>56</v>
      </c>
      <c r="D329" s="2">
        <v>44721</v>
      </c>
      <c r="E329" s="1" t="str">
        <f>TEXT(Table1[[#This Row],[Date]],"ddd")</f>
        <v>Thu</v>
      </c>
      <c r="F329" s="1" t="str">
        <f>TEXT(Table1[[#This Row],[Date]],"mmm")</f>
        <v>Jun</v>
      </c>
      <c r="G329" s="7">
        <v>2863</v>
      </c>
      <c r="H329">
        <v>58</v>
      </c>
    </row>
    <row r="330" spans="1:8" x14ac:dyDescent="0.25">
      <c r="A330" t="s">
        <v>9</v>
      </c>
      <c r="B330" t="s">
        <v>15</v>
      </c>
      <c r="C330" t="s">
        <v>57</v>
      </c>
      <c r="D330" s="2">
        <v>44698</v>
      </c>
      <c r="E330" s="1" t="str">
        <f>TEXT(Table1[[#This Row],[Date]],"ddd")</f>
        <v>Tue</v>
      </c>
      <c r="F330" s="1" t="str">
        <f>TEXT(Table1[[#This Row],[Date]],"mmm")</f>
        <v>May</v>
      </c>
      <c r="G330" s="7">
        <v>5936</v>
      </c>
      <c r="H330">
        <v>59</v>
      </c>
    </row>
    <row r="331" spans="1:8" x14ac:dyDescent="0.25">
      <c r="A331" t="s">
        <v>55</v>
      </c>
      <c r="B331" t="s">
        <v>21</v>
      </c>
      <c r="C331" t="s">
        <v>13</v>
      </c>
      <c r="D331" s="2">
        <v>44624</v>
      </c>
      <c r="E331" s="1" t="str">
        <f>TEXT(Table1[[#This Row],[Date]],"ddd")</f>
        <v>Fri</v>
      </c>
      <c r="F331" s="1" t="str">
        <f>TEXT(Table1[[#This Row],[Date]],"mmm")</f>
        <v>Mar</v>
      </c>
      <c r="G331" s="7">
        <v>889</v>
      </c>
      <c r="H331">
        <v>273</v>
      </c>
    </row>
    <row r="332" spans="1:8" x14ac:dyDescent="0.25">
      <c r="A332" t="s">
        <v>49</v>
      </c>
      <c r="B332" t="s">
        <v>29</v>
      </c>
      <c r="C332" t="s">
        <v>37</v>
      </c>
      <c r="D332" s="2">
        <v>44749</v>
      </c>
      <c r="E332" s="1" t="str">
        <f>TEXT(Table1[[#This Row],[Date]],"ddd")</f>
        <v>Thu</v>
      </c>
      <c r="F332" s="1" t="str">
        <f>TEXT(Table1[[#This Row],[Date]],"mmm")</f>
        <v>Jul</v>
      </c>
      <c r="G332" s="7">
        <v>16016</v>
      </c>
      <c r="H332">
        <v>28</v>
      </c>
    </row>
    <row r="333" spans="1:8" x14ac:dyDescent="0.25">
      <c r="A333" t="s">
        <v>43</v>
      </c>
      <c r="B333" t="s">
        <v>29</v>
      </c>
      <c r="C333" t="s">
        <v>52</v>
      </c>
      <c r="D333" s="2">
        <v>44574</v>
      </c>
      <c r="E333" s="1" t="str">
        <f>TEXT(Table1[[#This Row],[Date]],"ddd")</f>
        <v>Thu</v>
      </c>
      <c r="F333" s="1" t="str">
        <f>TEXT(Table1[[#This Row],[Date]],"mmm")</f>
        <v>Jan</v>
      </c>
      <c r="G333" s="7">
        <v>10479</v>
      </c>
      <c r="H333">
        <v>118</v>
      </c>
    </row>
    <row r="334" spans="1:8" x14ac:dyDescent="0.25">
      <c r="A334" t="s">
        <v>38</v>
      </c>
      <c r="B334" t="s">
        <v>15</v>
      </c>
      <c r="C334" t="s">
        <v>47</v>
      </c>
      <c r="D334" s="2">
        <v>44755</v>
      </c>
      <c r="E334" s="1" t="str">
        <f>TEXT(Table1[[#This Row],[Date]],"ddd")</f>
        <v>Wed</v>
      </c>
      <c r="F334" s="1" t="str">
        <f>TEXT(Table1[[#This Row],[Date]],"mmm")</f>
        <v>Jul</v>
      </c>
      <c r="G334" s="7">
        <v>2912</v>
      </c>
      <c r="H334">
        <v>75</v>
      </c>
    </row>
    <row r="335" spans="1:8" x14ac:dyDescent="0.25">
      <c r="A335" t="s">
        <v>53</v>
      </c>
      <c r="B335" t="s">
        <v>15</v>
      </c>
      <c r="C335" t="s">
        <v>11</v>
      </c>
      <c r="D335" s="2">
        <v>44728</v>
      </c>
      <c r="E335" s="1" t="str">
        <f>TEXT(Table1[[#This Row],[Date]],"ddd")</f>
        <v>Thu</v>
      </c>
      <c r="F335" s="1" t="str">
        <f>TEXT(Table1[[#This Row],[Date]],"mmm")</f>
        <v>Jun</v>
      </c>
      <c r="G335" s="7">
        <v>1575</v>
      </c>
      <c r="H335">
        <v>329</v>
      </c>
    </row>
    <row r="336" spans="1:8" x14ac:dyDescent="0.25">
      <c r="A336" t="s">
        <v>12</v>
      </c>
      <c r="B336" t="s">
        <v>7</v>
      </c>
      <c r="C336" t="s">
        <v>22</v>
      </c>
      <c r="D336" s="2">
        <v>44760</v>
      </c>
      <c r="E336" s="1" t="str">
        <f>TEXT(Table1[[#This Row],[Date]],"ddd")</f>
        <v>Mon</v>
      </c>
      <c r="F336" s="1" t="str">
        <f>TEXT(Table1[[#This Row],[Date]],"mmm")</f>
        <v>Jul</v>
      </c>
      <c r="G336" s="7">
        <v>8197</v>
      </c>
      <c r="H336">
        <v>69</v>
      </c>
    </row>
    <row r="337" spans="1:8" x14ac:dyDescent="0.25">
      <c r="A337" t="s">
        <v>55</v>
      </c>
      <c r="B337" t="s">
        <v>7</v>
      </c>
      <c r="C337" t="s">
        <v>45</v>
      </c>
      <c r="D337" s="2">
        <v>44711</v>
      </c>
      <c r="E337" s="1" t="str">
        <f>TEXT(Table1[[#This Row],[Date]],"ddd")</f>
        <v>Mon</v>
      </c>
      <c r="F337" s="1" t="str">
        <f>TEXT(Table1[[#This Row],[Date]],"mmm")</f>
        <v>May</v>
      </c>
      <c r="G337" s="7">
        <v>4221</v>
      </c>
      <c r="H337">
        <v>395</v>
      </c>
    </row>
    <row r="338" spans="1:8" x14ac:dyDescent="0.25">
      <c r="A338" t="s">
        <v>12</v>
      </c>
      <c r="B338" t="s">
        <v>7</v>
      </c>
      <c r="C338" t="s">
        <v>58</v>
      </c>
      <c r="D338" s="2">
        <v>44733</v>
      </c>
      <c r="E338" s="1" t="str">
        <f>TEXT(Table1[[#This Row],[Date]],"ddd")</f>
        <v>Tue</v>
      </c>
      <c r="F338" s="1" t="str">
        <f>TEXT(Table1[[#This Row],[Date]],"mmm")</f>
        <v>Jun</v>
      </c>
      <c r="G338" s="7">
        <v>840</v>
      </c>
      <c r="H338">
        <v>81</v>
      </c>
    </row>
    <row r="339" spans="1:8" x14ac:dyDescent="0.25">
      <c r="A339" t="s">
        <v>6</v>
      </c>
      <c r="B339" t="s">
        <v>15</v>
      </c>
      <c r="C339" t="s">
        <v>13</v>
      </c>
      <c r="D339" s="2">
        <v>44736</v>
      </c>
      <c r="E339" s="1" t="str">
        <f>TEXT(Table1[[#This Row],[Date]],"ddd")</f>
        <v>Fri</v>
      </c>
      <c r="F339" s="1" t="str">
        <f>TEXT(Table1[[#This Row],[Date]],"mmm")</f>
        <v>Jun</v>
      </c>
      <c r="G339" s="7">
        <v>5691</v>
      </c>
      <c r="H339">
        <v>38</v>
      </c>
    </row>
    <row r="340" spans="1:8" x14ac:dyDescent="0.25">
      <c r="A340" t="s">
        <v>33</v>
      </c>
      <c r="B340" t="s">
        <v>10</v>
      </c>
      <c r="C340" t="s">
        <v>30</v>
      </c>
      <c r="D340" s="2">
        <v>44574</v>
      </c>
      <c r="E340" s="1" t="str">
        <f>TEXT(Table1[[#This Row],[Date]],"ddd")</f>
        <v>Thu</v>
      </c>
      <c r="F340" s="1" t="str">
        <f>TEXT(Table1[[#This Row],[Date]],"mmm")</f>
        <v>Jan</v>
      </c>
      <c r="G340" s="7">
        <v>3472</v>
      </c>
      <c r="H340">
        <v>96</v>
      </c>
    </row>
    <row r="341" spans="1:8" x14ac:dyDescent="0.25">
      <c r="A341" t="s">
        <v>38</v>
      </c>
      <c r="B341" t="s">
        <v>29</v>
      </c>
      <c r="C341" t="s">
        <v>42</v>
      </c>
      <c r="D341" s="2">
        <v>44655</v>
      </c>
      <c r="E341" s="1" t="str">
        <f>TEXT(Table1[[#This Row],[Date]],"ddd")</f>
        <v>Mon</v>
      </c>
      <c r="F341" s="1" t="str">
        <f>TEXT(Table1[[#This Row],[Date]],"mmm")</f>
        <v>Apr</v>
      </c>
      <c r="G341" s="7">
        <v>4193</v>
      </c>
      <c r="H341">
        <v>195</v>
      </c>
    </row>
    <row r="342" spans="1:8" x14ac:dyDescent="0.25">
      <c r="A342" t="s">
        <v>41</v>
      </c>
      <c r="B342" t="s">
        <v>7</v>
      </c>
      <c r="C342" t="s">
        <v>16</v>
      </c>
      <c r="D342" s="2">
        <v>44720</v>
      </c>
      <c r="E342" s="1" t="str">
        <f>TEXT(Table1[[#This Row],[Date]],"ddd")</f>
        <v>Wed</v>
      </c>
      <c r="F342" s="1" t="str">
        <f>TEXT(Table1[[#This Row],[Date]],"mmm")</f>
        <v>Jun</v>
      </c>
      <c r="G342" s="7">
        <v>9016</v>
      </c>
      <c r="H342">
        <v>554</v>
      </c>
    </row>
    <row r="343" spans="1:8" x14ac:dyDescent="0.25">
      <c r="A343" t="s">
        <v>31</v>
      </c>
      <c r="B343" t="s">
        <v>29</v>
      </c>
      <c r="C343" t="s">
        <v>39</v>
      </c>
      <c r="D343" s="2">
        <v>44775</v>
      </c>
      <c r="E343" s="1" t="str">
        <f>TEXT(Table1[[#This Row],[Date]],"ddd")</f>
        <v>Tue</v>
      </c>
      <c r="F343" s="1" t="str">
        <f>TEXT(Table1[[#This Row],[Date]],"mmm")</f>
        <v>Aug</v>
      </c>
      <c r="G343" s="7">
        <v>6328</v>
      </c>
      <c r="H343">
        <v>47</v>
      </c>
    </row>
    <row r="344" spans="1:8" x14ac:dyDescent="0.25">
      <c r="A344" t="s">
        <v>49</v>
      </c>
      <c r="B344" t="s">
        <v>26</v>
      </c>
      <c r="C344" t="s">
        <v>35</v>
      </c>
      <c r="D344" s="2">
        <v>44763</v>
      </c>
      <c r="E344" s="1" t="str">
        <f>TEXT(Table1[[#This Row],[Date]],"ddd")</f>
        <v>Thu</v>
      </c>
      <c r="F344" s="1" t="str">
        <f>TEXT(Table1[[#This Row],[Date]],"mmm")</f>
        <v>Jul</v>
      </c>
      <c r="G344" s="7">
        <v>9870</v>
      </c>
      <c r="H344">
        <v>152</v>
      </c>
    </row>
    <row r="345" spans="1:8" x14ac:dyDescent="0.25">
      <c r="A345" t="s">
        <v>38</v>
      </c>
      <c r="B345" t="s">
        <v>10</v>
      </c>
      <c r="C345" t="s">
        <v>39</v>
      </c>
      <c r="D345" s="2">
        <v>44732</v>
      </c>
      <c r="E345" s="1" t="str">
        <f>TEXT(Table1[[#This Row],[Date]],"ddd")</f>
        <v>Mon</v>
      </c>
      <c r="F345" s="1" t="str">
        <f>TEXT(Table1[[#This Row],[Date]],"mmm")</f>
        <v>Jun</v>
      </c>
      <c r="G345" s="7">
        <v>161</v>
      </c>
      <c r="H345">
        <v>134</v>
      </c>
    </row>
    <row r="346" spans="1:8" x14ac:dyDescent="0.25">
      <c r="A346" t="s">
        <v>36</v>
      </c>
      <c r="B346" t="s">
        <v>10</v>
      </c>
      <c r="C346" t="s">
        <v>20</v>
      </c>
      <c r="D346" s="2">
        <v>44734</v>
      </c>
      <c r="E346" s="1" t="str">
        <f>TEXT(Table1[[#This Row],[Date]],"ddd")</f>
        <v>Wed</v>
      </c>
      <c r="F346" s="1" t="str">
        <f>TEXT(Table1[[#This Row],[Date]],"mmm")</f>
        <v>Jun</v>
      </c>
      <c r="G346" s="7">
        <v>2576</v>
      </c>
      <c r="H346">
        <v>112</v>
      </c>
    </row>
    <row r="347" spans="1:8" x14ac:dyDescent="0.25">
      <c r="A347" t="s">
        <v>50</v>
      </c>
      <c r="B347" t="s">
        <v>15</v>
      </c>
      <c r="C347" t="s">
        <v>57</v>
      </c>
      <c r="D347" s="2">
        <v>44683</v>
      </c>
      <c r="E347" s="1" t="str">
        <f>TEXT(Table1[[#This Row],[Date]],"ddd")</f>
        <v>Mon</v>
      </c>
      <c r="F347" s="1" t="str">
        <f>TEXT(Table1[[#This Row],[Date]],"mmm")</f>
        <v>May</v>
      </c>
      <c r="G347" s="7">
        <v>3178</v>
      </c>
      <c r="H347">
        <v>16</v>
      </c>
    </row>
    <row r="348" spans="1:8" x14ac:dyDescent="0.25">
      <c r="A348" t="s">
        <v>38</v>
      </c>
      <c r="B348" t="s">
        <v>15</v>
      </c>
      <c r="C348" t="s">
        <v>18</v>
      </c>
      <c r="D348" s="2">
        <v>44568</v>
      </c>
      <c r="E348" s="1" t="str">
        <f>TEXT(Table1[[#This Row],[Date]],"ddd")</f>
        <v>Fri</v>
      </c>
      <c r="F348" s="1" t="str">
        <f>TEXT(Table1[[#This Row],[Date]],"mmm")</f>
        <v>Jan</v>
      </c>
      <c r="G348" s="7">
        <v>4676</v>
      </c>
      <c r="H348">
        <v>84</v>
      </c>
    </row>
    <row r="349" spans="1:8" x14ac:dyDescent="0.25">
      <c r="A349" t="s">
        <v>28</v>
      </c>
      <c r="B349" t="s">
        <v>7</v>
      </c>
      <c r="C349" t="s">
        <v>22</v>
      </c>
      <c r="D349" s="2">
        <v>44613</v>
      </c>
      <c r="E349" s="1" t="str">
        <f>TEXT(Table1[[#This Row],[Date]],"ddd")</f>
        <v>Mon</v>
      </c>
      <c r="F349" s="1" t="str">
        <f>TEXT(Table1[[#This Row],[Date]],"mmm")</f>
        <v>Feb</v>
      </c>
      <c r="G349" s="7">
        <v>5502</v>
      </c>
      <c r="H349">
        <v>99</v>
      </c>
    </row>
    <row r="350" spans="1:8" x14ac:dyDescent="0.25">
      <c r="A350" t="s">
        <v>55</v>
      </c>
      <c r="B350" t="s">
        <v>29</v>
      </c>
      <c r="C350" t="s">
        <v>56</v>
      </c>
      <c r="D350" s="2">
        <v>44641</v>
      </c>
      <c r="E350" s="1" t="str">
        <f>TEXT(Table1[[#This Row],[Date]],"ddd")</f>
        <v>Mon</v>
      </c>
      <c r="F350" s="1" t="str">
        <f>TEXT(Table1[[#This Row],[Date]],"mmm")</f>
        <v>Mar</v>
      </c>
      <c r="G350" s="7">
        <v>7462</v>
      </c>
      <c r="H350">
        <v>371</v>
      </c>
    </row>
    <row r="351" spans="1:8" x14ac:dyDescent="0.25">
      <c r="A351" t="s">
        <v>9</v>
      </c>
      <c r="B351" t="s">
        <v>7</v>
      </c>
      <c r="C351" t="s">
        <v>32</v>
      </c>
      <c r="D351" s="2">
        <v>44655</v>
      </c>
      <c r="E351" s="1" t="str">
        <f>TEXT(Table1[[#This Row],[Date]],"ddd")</f>
        <v>Mon</v>
      </c>
      <c r="F351" s="1" t="str">
        <f>TEXT(Table1[[#This Row],[Date]],"mmm")</f>
        <v>Apr</v>
      </c>
      <c r="G351" s="7">
        <v>5803</v>
      </c>
      <c r="H351">
        <v>136</v>
      </c>
    </row>
    <row r="352" spans="1:8" x14ac:dyDescent="0.25">
      <c r="A352" t="s">
        <v>19</v>
      </c>
      <c r="B352" t="s">
        <v>29</v>
      </c>
      <c r="C352" t="s">
        <v>42</v>
      </c>
      <c r="D352" s="2">
        <v>44644</v>
      </c>
      <c r="E352" s="1" t="str">
        <f>TEXT(Table1[[#This Row],[Date]],"ddd")</f>
        <v>Thu</v>
      </c>
      <c r="F352" s="1" t="str">
        <f>TEXT(Table1[[#This Row],[Date]],"mmm")</f>
        <v>Mar</v>
      </c>
      <c r="G352" s="7">
        <v>13888</v>
      </c>
      <c r="H352">
        <v>203</v>
      </c>
    </row>
    <row r="353" spans="1:8" x14ac:dyDescent="0.25">
      <c r="A353" t="s">
        <v>19</v>
      </c>
      <c r="B353" t="s">
        <v>21</v>
      </c>
      <c r="C353" t="s">
        <v>39</v>
      </c>
      <c r="D353" s="2">
        <v>44740</v>
      </c>
      <c r="E353" s="1" t="str">
        <f>TEXT(Table1[[#This Row],[Date]],"ddd")</f>
        <v>Tue</v>
      </c>
      <c r="F353" s="1" t="str">
        <f>TEXT(Table1[[#This Row],[Date]],"mmm")</f>
        <v>Jun</v>
      </c>
      <c r="G353" s="7">
        <v>6867</v>
      </c>
      <c r="H353">
        <v>183</v>
      </c>
    </row>
    <row r="354" spans="1:8" x14ac:dyDescent="0.25">
      <c r="A354" t="s">
        <v>19</v>
      </c>
      <c r="B354" t="s">
        <v>15</v>
      </c>
      <c r="C354" t="s">
        <v>32</v>
      </c>
      <c r="D354" s="2">
        <v>44575</v>
      </c>
      <c r="E354" s="1" t="str">
        <f>TEXT(Table1[[#This Row],[Date]],"ddd")</f>
        <v>Fri</v>
      </c>
      <c r="F354" s="1" t="str">
        <f>TEXT(Table1[[#This Row],[Date]],"mmm")</f>
        <v>Jan</v>
      </c>
      <c r="G354" s="7">
        <v>2317</v>
      </c>
      <c r="H354">
        <v>195</v>
      </c>
    </row>
    <row r="355" spans="1:8" x14ac:dyDescent="0.25">
      <c r="A355" t="s">
        <v>31</v>
      </c>
      <c r="B355" t="s">
        <v>21</v>
      </c>
      <c r="C355" t="s">
        <v>42</v>
      </c>
      <c r="D355" s="2">
        <v>44599</v>
      </c>
      <c r="E355" s="1" t="str">
        <f>TEXT(Table1[[#This Row],[Date]],"ddd")</f>
        <v>Mon</v>
      </c>
      <c r="F355" s="1" t="str">
        <f>TEXT(Table1[[#This Row],[Date]],"mmm")</f>
        <v>Feb</v>
      </c>
      <c r="G355" s="7">
        <v>1218</v>
      </c>
      <c r="H355">
        <v>135</v>
      </c>
    </row>
    <row r="356" spans="1:8" x14ac:dyDescent="0.25">
      <c r="A356" t="s">
        <v>43</v>
      </c>
      <c r="B356" t="s">
        <v>21</v>
      </c>
      <c r="C356" t="s">
        <v>32</v>
      </c>
      <c r="D356" s="2">
        <v>44572</v>
      </c>
      <c r="E356" s="1" t="str">
        <f>TEXT(Table1[[#This Row],[Date]],"ddd")</f>
        <v>Tue</v>
      </c>
      <c r="F356" s="1" t="str">
        <f>TEXT(Table1[[#This Row],[Date]],"mmm")</f>
        <v>Jan</v>
      </c>
      <c r="G356" s="7">
        <v>4109</v>
      </c>
      <c r="H356">
        <v>197</v>
      </c>
    </row>
    <row r="357" spans="1:8" x14ac:dyDescent="0.25">
      <c r="A357" t="s">
        <v>6</v>
      </c>
      <c r="B357" t="s">
        <v>10</v>
      </c>
      <c r="C357" t="s">
        <v>18</v>
      </c>
      <c r="D357" s="2">
        <v>44617</v>
      </c>
      <c r="E357" s="1" t="str">
        <f>TEXT(Table1[[#This Row],[Date]],"ddd")</f>
        <v>Fri</v>
      </c>
      <c r="F357" s="1" t="str">
        <f>TEXT(Table1[[#This Row],[Date]],"mmm")</f>
        <v>Feb</v>
      </c>
      <c r="G357" s="7">
        <v>1953</v>
      </c>
      <c r="H357">
        <v>242</v>
      </c>
    </row>
    <row r="358" spans="1:8" x14ac:dyDescent="0.25">
      <c r="A358" t="s">
        <v>54</v>
      </c>
      <c r="B358" t="s">
        <v>15</v>
      </c>
      <c r="C358" t="s">
        <v>8</v>
      </c>
      <c r="D358" s="2">
        <v>44774</v>
      </c>
      <c r="E358" s="1" t="str">
        <f>TEXT(Table1[[#This Row],[Date]],"ddd")</f>
        <v>Mon</v>
      </c>
      <c r="F358" s="1" t="str">
        <f>TEXT(Table1[[#This Row],[Date]],"mmm")</f>
        <v>Aug</v>
      </c>
      <c r="G358" s="7">
        <v>6790</v>
      </c>
      <c r="H358">
        <v>25</v>
      </c>
    </row>
    <row r="359" spans="1:8" x14ac:dyDescent="0.25">
      <c r="A359" t="s">
        <v>36</v>
      </c>
      <c r="B359" t="s">
        <v>15</v>
      </c>
      <c r="C359" t="s">
        <v>8</v>
      </c>
      <c r="D359" s="2">
        <v>44686</v>
      </c>
      <c r="E359" s="1" t="str">
        <f>TEXT(Table1[[#This Row],[Date]],"ddd")</f>
        <v>Thu</v>
      </c>
      <c r="F359" s="1" t="str">
        <f>TEXT(Table1[[#This Row],[Date]],"mmm")</f>
        <v>May</v>
      </c>
      <c r="G359" s="7">
        <v>6797</v>
      </c>
      <c r="H359">
        <v>252</v>
      </c>
    </row>
    <row r="360" spans="1:8" x14ac:dyDescent="0.25">
      <c r="A360" t="s">
        <v>53</v>
      </c>
      <c r="B360" t="s">
        <v>21</v>
      </c>
      <c r="C360" t="s">
        <v>51</v>
      </c>
      <c r="D360" s="2">
        <v>44699</v>
      </c>
      <c r="E360" s="1" t="str">
        <f>TEXT(Table1[[#This Row],[Date]],"ddd")</f>
        <v>Wed</v>
      </c>
      <c r="F360" s="1" t="str">
        <f>TEXT(Table1[[#This Row],[Date]],"mmm")</f>
        <v>May</v>
      </c>
      <c r="G360" s="7">
        <v>9226</v>
      </c>
      <c r="H360">
        <v>415</v>
      </c>
    </row>
    <row r="361" spans="1:8" x14ac:dyDescent="0.25">
      <c r="A361" t="s">
        <v>54</v>
      </c>
      <c r="B361" t="s">
        <v>21</v>
      </c>
      <c r="C361" t="s">
        <v>52</v>
      </c>
      <c r="D361" s="2">
        <v>44565</v>
      </c>
      <c r="E361" s="1" t="str">
        <f>TEXT(Table1[[#This Row],[Date]],"ddd")</f>
        <v>Tue</v>
      </c>
      <c r="F361" s="1" t="str">
        <f>TEXT(Table1[[#This Row],[Date]],"mmm")</f>
        <v>Jan</v>
      </c>
      <c r="G361" s="7">
        <v>5733</v>
      </c>
      <c r="H361">
        <v>348</v>
      </c>
    </row>
    <row r="362" spans="1:8" x14ac:dyDescent="0.25">
      <c r="A362" t="s">
        <v>36</v>
      </c>
      <c r="B362" t="s">
        <v>21</v>
      </c>
      <c r="C362" t="s">
        <v>22</v>
      </c>
      <c r="D362" s="2">
        <v>44690</v>
      </c>
      <c r="E362" s="1" t="str">
        <f>TEXT(Table1[[#This Row],[Date]],"ddd")</f>
        <v>Mon</v>
      </c>
      <c r="F362" s="1" t="str">
        <f>TEXT(Table1[[#This Row],[Date]],"mmm")</f>
        <v>May</v>
      </c>
      <c r="G362" s="7">
        <v>4312</v>
      </c>
      <c r="H362">
        <v>211</v>
      </c>
    </row>
    <row r="363" spans="1:8" x14ac:dyDescent="0.25">
      <c r="A363" t="s">
        <v>24</v>
      </c>
      <c r="B363" t="s">
        <v>10</v>
      </c>
      <c r="C363" t="s">
        <v>16</v>
      </c>
      <c r="D363" s="2">
        <v>44687</v>
      </c>
      <c r="E363" s="1" t="str">
        <f>TEXT(Table1[[#This Row],[Date]],"ddd")</f>
        <v>Fri</v>
      </c>
      <c r="F363" s="1" t="str">
        <f>TEXT(Table1[[#This Row],[Date]],"mmm")</f>
        <v>May</v>
      </c>
      <c r="G363" s="7">
        <v>1638</v>
      </c>
      <c r="H363">
        <v>81</v>
      </c>
    </row>
    <row r="364" spans="1:8" x14ac:dyDescent="0.25">
      <c r="A364" t="s">
        <v>40</v>
      </c>
      <c r="B364" t="s">
        <v>7</v>
      </c>
      <c r="C364" t="s">
        <v>44</v>
      </c>
      <c r="D364" s="2">
        <v>44574</v>
      </c>
      <c r="E364" s="1" t="str">
        <f>TEXT(Table1[[#This Row],[Date]],"ddd")</f>
        <v>Thu</v>
      </c>
      <c r="F364" s="1" t="str">
        <f>TEXT(Table1[[#This Row],[Date]],"mmm")</f>
        <v>Jan</v>
      </c>
      <c r="G364" s="7">
        <v>10815</v>
      </c>
      <c r="H364">
        <v>145</v>
      </c>
    </row>
    <row r="365" spans="1:8" x14ac:dyDescent="0.25">
      <c r="A365" t="s">
        <v>36</v>
      </c>
      <c r="B365" t="s">
        <v>15</v>
      </c>
      <c r="C365" t="s">
        <v>47</v>
      </c>
      <c r="D365" s="2">
        <v>44736</v>
      </c>
      <c r="E365" s="1" t="str">
        <f>TEXT(Table1[[#This Row],[Date]],"ddd")</f>
        <v>Fri</v>
      </c>
      <c r="F365" s="1" t="str">
        <f>TEXT(Table1[[#This Row],[Date]],"mmm")</f>
        <v>Jun</v>
      </c>
      <c r="G365" s="7">
        <v>4466</v>
      </c>
      <c r="H365">
        <v>74</v>
      </c>
    </row>
    <row r="366" spans="1:8" x14ac:dyDescent="0.25">
      <c r="A366" t="s">
        <v>9</v>
      </c>
      <c r="B366" t="s">
        <v>26</v>
      </c>
      <c r="C366" t="s">
        <v>57</v>
      </c>
      <c r="D366" s="2">
        <v>44606</v>
      </c>
      <c r="E366" s="1" t="str">
        <f>TEXT(Table1[[#This Row],[Date]],"ddd")</f>
        <v>Mon</v>
      </c>
      <c r="F366" s="1" t="str">
        <f>TEXT(Table1[[#This Row],[Date]],"mmm")</f>
        <v>Feb</v>
      </c>
      <c r="G366" s="7">
        <v>987</v>
      </c>
      <c r="H366">
        <v>21</v>
      </c>
    </row>
    <row r="367" spans="1:8" x14ac:dyDescent="0.25">
      <c r="A367" t="s">
        <v>50</v>
      </c>
      <c r="B367" t="s">
        <v>15</v>
      </c>
      <c r="C367" t="s">
        <v>18</v>
      </c>
      <c r="D367" s="2">
        <v>44579</v>
      </c>
      <c r="E367" s="1" t="str">
        <f>TEXT(Table1[[#This Row],[Date]],"ddd")</f>
        <v>Tue</v>
      </c>
      <c r="F367" s="1" t="str">
        <f>TEXT(Table1[[#This Row],[Date]],"mmm")</f>
        <v>Jan</v>
      </c>
      <c r="G367" s="7">
        <v>4669</v>
      </c>
      <c r="H367">
        <v>101</v>
      </c>
    </row>
    <row r="368" spans="1:8" x14ac:dyDescent="0.25">
      <c r="A368" t="s">
        <v>41</v>
      </c>
      <c r="B368" t="s">
        <v>10</v>
      </c>
      <c r="C368" t="s">
        <v>37</v>
      </c>
      <c r="D368" s="2">
        <v>44683</v>
      </c>
      <c r="E368" s="1" t="str">
        <f>TEXT(Table1[[#This Row],[Date]],"ddd")</f>
        <v>Mon</v>
      </c>
      <c r="F368" s="1" t="str">
        <f>TEXT(Table1[[#This Row],[Date]],"mmm")</f>
        <v>May</v>
      </c>
      <c r="G368" s="7">
        <v>2905</v>
      </c>
      <c r="H368">
        <v>91</v>
      </c>
    </row>
    <row r="369" spans="1:8" x14ac:dyDescent="0.25">
      <c r="A369" t="s">
        <v>55</v>
      </c>
      <c r="B369" t="s">
        <v>15</v>
      </c>
      <c r="C369" t="s">
        <v>16</v>
      </c>
      <c r="D369" s="2">
        <v>44697</v>
      </c>
      <c r="E369" s="1" t="str">
        <f>TEXT(Table1[[#This Row],[Date]],"ddd")</f>
        <v>Mon</v>
      </c>
      <c r="F369" s="1" t="str">
        <f>TEXT(Table1[[#This Row],[Date]],"mmm")</f>
        <v>May</v>
      </c>
      <c r="G369" s="7">
        <v>7490</v>
      </c>
      <c r="H369">
        <v>54</v>
      </c>
    </row>
    <row r="370" spans="1:8" x14ac:dyDescent="0.25">
      <c r="A370" t="s">
        <v>28</v>
      </c>
      <c r="B370" t="s">
        <v>26</v>
      </c>
      <c r="C370" t="s">
        <v>47</v>
      </c>
      <c r="D370" s="2">
        <v>44589</v>
      </c>
      <c r="E370" s="1" t="str">
        <f>TEXT(Table1[[#This Row],[Date]],"ddd")</f>
        <v>Fri</v>
      </c>
      <c r="F370" s="1" t="str">
        <f>TEXT(Table1[[#This Row],[Date]],"mmm")</f>
        <v>Jan</v>
      </c>
      <c r="G370" s="7">
        <v>6986</v>
      </c>
      <c r="H370">
        <v>368</v>
      </c>
    </row>
    <row r="371" spans="1:8" x14ac:dyDescent="0.25">
      <c r="A371" t="s">
        <v>41</v>
      </c>
      <c r="B371" t="s">
        <v>29</v>
      </c>
      <c r="C371" t="s">
        <v>18</v>
      </c>
      <c r="D371" s="2">
        <v>44736</v>
      </c>
      <c r="E371" s="1" t="str">
        <f>TEXT(Table1[[#This Row],[Date]],"ddd")</f>
        <v>Fri</v>
      </c>
      <c r="F371" s="1" t="str">
        <f>TEXT(Table1[[#This Row],[Date]],"mmm")</f>
        <v>Jun</v>
      </c>
      <c r="G371" s="7">
        <v>1288</v>
      </c>
      <c r="H371">
        <v>409</v>
      </c>
    </row>
    <row r="372" spans="1:8" x14ac:dyDescent="0.25">
      <c r="A372" t="s">
        <v>17</v>
      </c>
      <c r="B372" t="s">
        <v>7</v>
      </c>
      <c r="C372" t="s">
        <v>20</v>
      </c>
      <c r="D372" s="2">
        <v>44760</v>
      </c>
      <c r="E372" s="1" t="str">
        <f>TEXT(Table1[[#This Row],[Date]],"ddd")</f>
        <v>Mon</v>
      </c>
      <c r="F372" s="1" t="str">
        <f>TEXT(Table1[[#This Row],[Date]],"mmm")</f>
        <v>Jul</v>
      </c>
      <c r="G372" s="7">
        <v>2345</v>
      </c>
      <c r="H372">
        <v>104</v>
      </c>
    </row>
    <row r="373" spans="1:8" x14ac:dyDescent="0.25">
      <c r="A373" t="s">
        <v>19</v>
      </c>
      <c r="B373" t="s">
        <v>7</v>
      </c>
      <c r="C373" t="s">
        <v>30</v>
      </c>
      <c r="D373" s="2">
        <v>44664</v>
      </c>
      <c r="E373" s="1" t="str">
        <f>TEXT(Table1[[#This Row],[Date]],"ddd")</f>
        <v>Wed</v>
      </c>
      <c r="F373" s="1" t="str">
        <f>TEXT(Table1[[#This Row],[Date]],"mmm")</f>
        <v>Apr</v>
      </c>
      <c r="G373" s="7">
        <v>3619</v>
      </c>
      <c r="H373">
        <v>164</v>
      </c>
    </row>
    <row r="374" spans="1:8" x14ac:dyDescent="0.25">
      <c r="A374" t="s">
        <v>54</v>
      </c>
      <c r="B374" t="s">
        <v>26</v>
      </c>
      <c r="C374" t="s">
        <v>57</v>
      </c>
      <c r="D374" s="2">
        <v>44666</v>
      </c>
      <c r="E374" s="1" t="str">
        <f>TEXT(Table1[[#This Row],[Date]],"ddd")</f>
        <v>Fri</v>
      </c>
      <c r="F374" s="1" t="str">
        <f>TEXT(Table1[[#This Row],[Date]],"mmm")</f>
        <v>Apr</v>
      </c>
      <c r="G374" s="7">
        <v>16982</v>
      </c>
      <c r="H374">
        <v>76</v>
      </c>
    </row>
    <row r="375" spans="1:8" x14ac:dyDescent="0.25">
      <c r="A375" t="s">
        <v>14</v>
      </c>
      <c r="B375" t="s">
        <v>10</v>
      </c>
      <c r="C375" t="s">
        <v>13</v>
      </c>
      <c r="D375" s="2">
        <v>44565</v>
      </c>
      <c r="E375" s="1" t="str">
        <f>TEXT(Table1[[#This Row],[Date]],"ddd")</f>
        <v>Tue</v>
      </c>
      <c r="F375" s="1" t="str">
        <f>TEXT(Table1[[#This Row],[Date]],"mmm")</f>
        <v>Jan</v>
      </c>
      <c r="G375" s="7">
        <v>8092</v>
      </c>
      <c r="H375">
        <v>178</v>
      </c>
    </row>
    <row r="376" spans="1:8" x14ac:dyDescent="0.25">
      <c r="A376" t="s">
        <v>40</v>
      </c>
      <c r="B376" t="s">
        <v>15</v>
      </c>
      <c r="C376" t="s">
        <v>30</v>
      </c>
      <c r="D376" s="2">
        <v>44746</v>
      </c>
      <c r="E376" s="1" t="str">
        <f>TEXT(Table1[[#This Row],[Date]],"ddd")</f>
        <v>Mon</v>
      </c>
      <c r="F376" s="1" t="str">
        <f>TEXT(Table1[[#This Row],[Date]],"mmm")</f>
        <v>Jul</v>
      </c>
      <c r="G376" s="7">
        <v>6993</v>
      </c>
      <c r="H376">
        <v>31</v>
      </c>
    </row>
    <row r="377" spans="1:8" x14ac:dyDescent="0.25">
      <c r="A377" t="s">
        <v>34</v>
      </c>
      <c r="B377" t="s">
        <v>26</v>
      </c>
      <c r="C377" t="s">
        <v>16</v>
      </c>
      <c r="D377" s="2">
        <v>44644</v>
      </c>
      <c r="E377" s="1" t="str">
        <f>TEXT(Table1[[#This Row],[Date]],"ddd")</f>
        <v>Thu</v>
      </c>
      <c r="F377" s="1" t="str">
        <f>TEXT(Table1[[#This Row],[Date]],"mmm")</f>
        <v>Mar</v>
      </c>
      <c r="G377" s="7">
        <v>2317</v>
      </c>
      <c r="H377">
        <v>352</v>
      </c>
    </row>
    <row r="378" spans="1:8" x14ac:dyDescent="0.25">
      <c r="A378" t="s">
        <v>50</v>
      </c>
      <c r="B378" t="s">
        <v>15</v>
      </c>
      <c r="C378" t="s">
        <v>45</v>
      </c>
      <c r="D378" s="2">
        <v>44637</v>
      </c>
      <c r="E378" s="1" t="str">
        <f>TEXT(Table1[[#This Row],[Date]],"ddd")</f>
        <v>Thu</v>
      </c>
      <c r="F378" s="1" t="str">
        <f>TEXT(Table1[[#This Row],[Date]],"mmm")</f>
        <v>Mar</v>
      </c>
      <c r="G378" s="7">
        <v>637</v>
      </c>
      <c r="H378">
        <v>169</v>
      </c>
    </row>
    <row r="379" spans="1:8" x14ac:dyDescent="0.25">
      <c r="A379" t="s">
        <v>17</v>
      </c>
      <c r="B379" t="s">
        <v>15</v>
      </c>
      <c r="C379" t="s">
        <v>47</v>
      </c>
      <c r="D379" s="2">
        <v>44607</v>
      </c>
      <c r="E379" s="1" t="str">
        <f>TEXT(Table1[[#This Row],[Date]],"ddd")</f>
        <v>Tue</v>
      </c>
      <c r="F379" s="1" t="str">
        <f>TEXT(Table1[[#This Row],[Date]],"mmm")</f>
        <v>Feb</v>
      </c>
      <c r="G379" s="7">
        <v>6034</v>
      </c>
      <c r="H379">
        <v>223</v>
      </c>
    </row>
    <row r="380" spans="1:8" x14ac:dyDescent="0.25">
      <c r="A380" t="s">
        <v>14</v>
      </c>
      <c r="B380" t="s">
        <v>26</v>
      </c>
      <c r="C380" t="s">
        <v>27</v>
      </c>
      <c r="D380" s="2">
        <v>44741</v>
      </c>
      <c r="E380" s="1" t="str">
        <f>TEXT(Table1[[#This Row],[Date]],"ddd")</f>
        <v>Wed</v>
      </c>
      <c r="F380" s="1" t="str">
        <f>TEXT(Table1[[#This Row],[Date]],"mmm")</f>
        <v>Jun</v>
      </c>
      <c r="G380" s="7">
        <v>980</v>
      </c>
      <c r="H380">
        <v>146</v>
      </c>
    </row>
    <row r="381" spans="1:8" x14ac:dyDescent="0.25">
      <c r="A381" t="s">
        <v>12</v>
      </c>
      <c r="B381" t="s">
        <v>26</v>
      </c>
      <c r="C381" t="s">
        <v>42</v>
      </c>
      <c r="D381" s="2">
        <v>44705</v>
      </c>
      <c r="E381" s="1" t="str">
        <f>TEXT(Table1[[#This Row],[Date]],"ddd")</f>
        <v>Tue</v>
      </c>
      <c r="F381" s="1" t="str">
        <f>TEXT(Table1[[#This Row],[Date]],"mmm")</f>
        <v>May</v>
      </c>
      <c r="G381" s="7">
        <v>2821</v>
      </c>
      <c r="H381">
        <v>112</v>
      </c>
    </row>
    <row r="382" spans="1:8" x14ac:dyDescent="0.25">
      <c r="A382" t="s">
        <v>28</v>
      </c>
      <c r="B382" t="s">
        <v>7</v>
      </c>
      <c r="C382" t="s">
        <v>37</v>
      </c>
      <c r="D382" s="2">
        <v>44571</v>
      </c>
      <c r="E382" s="1" t="str">
        <f>TEXT(Table1[[#This Row],[Date]],"ddd")</f>
        <v>Mon</v>
      </c>
      <c r="F382" s="1" t="str">
        <f>TEXT(Table1[[#This Row],[Date]],"mmm")</f>
        <v>Jan</v>
      </c>
      <c r="G382" s="7">
        <v>3563</v>
      </c>
      <c r="H382">
        <v>284</v>
      </c>
    </row>
    <row r="383" spans="1:8" x14ac:dyDescent="0.25">
      <c r="A383" t="s">
        <v>38</v>
      </c>
      <c r="B383" t="s">
        <v>26</v>
      </c>
      <c r="C383" t="s">
        <v>51</v>
      </c>
      <c r="D383" s="2">
        <v>44635</v>
      </c>
      <c r="E383" s="1" t="str">
        <f>TEXT(Table1[[#This Row],[Date]],"ddd")</f>
        <v>Tue</v>
      </c>
      <c r="F383" s="1" t="str">
        <f>TEXT(Table1[[#This Row],[Date]],"mmm")</f>
        <v>Mar</v>
      </c>
      <c r="G383" s="7">
        <v>2996</v>
      </c>
      <c r="H383">
        <v>139</v>
      </c>
    </row>
    <row r="384" spans="1:8" x14ac:dyDescent="0.25">
      <c r="A384" t="s">
        <v>33</v>
      </c>
      <c r="B384" t="s">
        <v>29</v>
      </c>
      <c r="C384" t="s">
        <v>37</v>
      </c>
      <c r="D384" s="2">
        <v>44600</v>
      </c>
      <c r="E384" s="1" t="str">
        <f>TEXT(Table1[[#This Row],[Date]],"ddd")</f>
        <v>Tue</v>
      </c>
      <c r="F384" s="1" t="str">
        <f>TEXT(Table1[[#This Row],[Date]],"mmm")</f>
        <v>Feb</v>
      </c>
      <c r="G384" s="7">
        <v>2436</v>
      </c>
      <c r="H384">
        <v>309</v>
      </c>
    </row>
    <row r="385" spans="1:8" x14ac:dyDescent="0.25">
      <c r="A385" t="s">
        <v>23</v>
      </c>
      <c r="B385" t="s">
        <v>10</v>
      </c>
      <c r="C385" t="s">
        <v>57</v>
      </c>
      <c r="D385" s="2">
        <v>44617</v>
      </c>
      <c r="E385" s="1" t="str">
        <f>TEXT(Table1[[#This Row],[Date]],"ddd")</f>
        <v>Fri</v>
      </c>
      <c r="F385" s="1" t="str">
        <f>TEXT(Table1[[#This Row],[Date]],"mmm")</f>
        <v>Feb</v>
      </c>
      <c r="G385" s="7">
        <v>1540</v>
      </c>
      <c r="H385">
        <v>100</v>
      </c>
    </row>
    <row r="386" spans="1:8" x14ac:dyDescent="0.25">
      <c r="A386" t="s">
        <v>19</v>
      </c>
      <c r="B386" t="s">
        <v>26</v>
      </c>
      <c r="C386" t="s">
        <v>30</v>
      </c>
      <c r="D386" s="2">
        <v>44684</v>
      </c>
      <c r="E386" s="1" t="str">
        <f>TEXT(Table1[[#This Row],[Date]],"ddd")</f>
        <v>Tue</v>
      </c>
      <c r="F386" s="1" t="str">
        <f>TEXT(Table1[[#This Row],[Date]],"mmm")</f>
        <v>May</v>
      </c>
      <c r="G386" s="7">
        <v>6916</v>
      </c>
      <c r="H386">
        <v>42</v>
      </c>
    </row>
    <row r="387" spans="1:8" x14ac:dyDescent="0.25">
      <c r="A387" t="s">
        <v>36</v>
      </c>
      <c r="B387" t="s">
        <v>26</v>
      </c>
      <c r="C387" t="s">
        <v>42</v>
      </c>
      <c r="D387" s="2">
        <v>44726</v>
      </c>
      <c r="E387" s="1" t="str">
        <f>TEXT(Table1[[#This Row],[Date]],"ddd")</f>
        <v>Tue</v>
      </c>
      <c r="F387" s="1" t="str">
        <f>TEXT(Table1[[#This Row],[Date]],"mmm")</f>
        <v>Jun</v>
      </c>
      <c r="G387" s="7">
        <v>5509</v>
      </c>
      <c r="H387">
        <v>24</v>
      </c>
    </row>
    <row r="388" spans="1:8" x14ac:dyDescent="0.25">
      <c r="A388" t="s">
        <v>19</v>
      </c>
      <c r="B388" t="s">
        <v>10</v>
      </c>
      <c r="C388" t="s">
        <v>22</v>
      </c>
      <c r="D388" s="2">
        <v>44782</v>
      </c>
      <c r="E388" s="1" t="str">
        <f>TEXT(Table1[[#This Row],[Date]],"ddd")</f>
        <v>Tue</v>
      </c>
      <c r="F388" s="1" t="str">
        <f>TEXT(Table1[[#This Row],[Date]],"mmm")</f>
        <v>Aug</v>
      </c>
      <c r="G388" s="7">
        <v>12992</v>
      </c>
      <c r="H388">
        <v>83</v>
      </c>
    </row>
    <row r="389" spans="1:8" x14ac:dyDescent="0.25">
      <c r="A389" t="s">
        <v>46</v>
      </c>
      <c r="B389" t="s">
        <v>21</v>
      </c>
      <c r="C389" t="s">
        <v>45</v>
      </c>
      <c r="D389" s="2">
        <v>44753</v>
      </c>
      <c r="E389" s="1" t="str">
        <f>TEXT(Table1[[#This Row],[Date]],"ddd")</f>
        <v>Mon</v>
      </c>
      <c r="F389" s="1" t="str">
        <f>TEXT(Table1[[#This Row],[Date]],"mmm")</f>
        <v>Jul</v>
      </c>
      <c r="G389" s="7">
        <v>3724</v>
      </c>
      <c r="H389">
        <v>234</v>
      </c>
    </row>
    <row r="390" spans="1:8" x14ac:dyDescent="0.25">
      <c r="A390" t="s">
        <v>41</v>
      </c>
      <c r="B390" t="s">
        <v>7</v>
      </c>
      <c r="C390" t="s">
        <v>45</v>
      </c>
      <c r="D390" s="2">
        <v>44575</v>
      </c>
      <c r="E390" s="1" t="str">
        <f>TEXT(Table1[[#This Row],[Date]],"ddd")</f>
        <v>Fri</v>
      </c>
      <c r="F390" s="1" t="str">
        <f>TEXT(Table1[[#This Row],[Date]],"mmm")</f>
        <v>Jan</v>
      </c>
      <c r="G390" s="7">
        <v>7133</v>
      </c>
      <c r="H390">
        <v>118</v>
      </c>
    </row>
    <row r="391" spans="1:8" x14ac:dyDescent="0.25">
      <c r="A391" t="s">
        <v>9</v>
      </c>
      <c r="B391" t="s">
        <v>29</v>
      </c>
      <c r="C391" t="s">
        <v>45</v>
      </c>
      <c r="D391" s="2">
        <v>44616</v>
      </c>
      <c r="E391" s="1" t="str">
        <f>TEXT(Table1[[#This Row],[Date]],"ddd")</f>
        <v>Thu</v>
      </c>
      <c r="F391" s="1" t="str">
        <f>TEXT(Table1[[#This Row],[Date]],"mmm")</f>
        <v>Feb</v>
      </c>
      <c r="G391" s="7">
        <v>8617</v>
      </c>
      <c r="H391">
        <v>46</v>
      </c>
    </row>
    <row r="392" spans="1:8" x14ac:dyDescent="0.25">
      <c r="A392" t="s">
        <v>46</v>
      </c>
      <c r="B392" t="s">
        <v>21</v>
      </c>
      <c r="C392" t="s">
        <v>47</v>
      </c>
      <c r="D392" s="2">
        <v>44635</v>
      </c>
      <c r="E392" s="1" t="str">
        <f>TEXT(Table1[[#This Row],[Date]],"ddd")</f>
        <v>Tue</v>
      </c>
      <c r="F392" s="1" t="str">
        <f>TEXT(Table1[[#This Row],[Date]],"mmm")</f>
        <v>Mar</v>
      </c>
      <c r="G392" s="7">
        <v>9198</v>
      </c>
      <c r="H392">
        <v>144</v>
      </c>
    </row>
    <row r="393" spans="1:8" x14ac:dyDescent="0.25">
      <c r="A393" t="s">
        <v>17</v>
      </c>
      <c r="B393" t="s">
        <v>21</v>
      </c>
      <c r="C393" t="s">
        <v>56</v>
      </c>
      <c r="D393" s="2">
        <v>44676</v>
      </c>
      <c r="E393" s="1" t="str">
        <f>TEXT(Table1[[#This Row],[Date]],"ddd")</f>
        <v>Mon</v>
      </c>
      <c r="F393" s="1" t="str">
        <f>TEXT(Table1[[#This Row],[Date]],"mmm")</f>
        <v>Apr</v>
      </c>
      <c r="G393" s="7">
        <v>11823</v>
      </c>
      <c r="H393">
        <v>47</v>
      </c>
    </row>
    <row r="394" spans="1:8" x14ac:dyDescent="0.25">
      <c r="A394" t="s">
        <v>43</v>
      </c>
      <c r="B394" t="s">
        <v>15</v>
      </c>
      <c r="C394" t="s">
        <v>35</v>
      </c>
      <c r="D394" s="2">
        <v>44691</v>
      </c>
      <c r="E394" s="1" t="str">
        <f>TEXT(Table1[[#This Row],[Date]],"ddd")</f>
        <v>Tue</v>
      </c>
      <c r="F394" s="1" t="str">
        <f>TEXT(Table1[[#This Row],[Date]],"mmm")</f>
        <v>May</v>
      </c>
      <c r="G394" s="7">
        <v>5775</v>
      </c>
      <c r="H394">
        <v>41</v>
      </c>
    </row>
    <row r="395" spans="1:8" x14ac:dyDescent="0.25">
      <c r="A395" t="s">
        <v>33</v>
      </c>
      <c r="B395" t="s">
        <v>15</v>
      </c>
      <c r="C395" t="s">
        <v>39</v>
      </c>
      <c r="D395" s="2">
        <v>44735</v>
      </c>
      <c r="E395" s="1" t="str">
        <f>TEXT(Table1[[#This Row],[Date]],"ddd")</f>
        <v>Thu</v>
      </c>
      <c r="F395" s="1" t="str">
        <f>TEXT(Table1[[#This Row],[Date]],"mmm")</f>
        <v>Jun</v>
      </c>
      <c r="G395" s="7">
        <v>13125</v>
      </c>
      <c r="H395">
        <v>275</v>
      </c>
    </row>
    <row r="396" spans="1:8" x14ac:dyDescent="0.25">
      <c r="A396" t="s">
        <v>34</v>
      </c>
      <c r="B396" t="s">
        <v>29</v>
      </c>
      <c r="C396" t="s">
        <v>16</v>
      </c>
      <c r="D396" s="2">
        <v>44620</v>
      </c>
      <c r="E396" s="1" t="str">
        <f>TEXT(Table1[[#This Row],[Date]],"ddd")</f>
        <v>Mon</v>
      </c>
      <c r="F396" s="1" t="str">
        <f>TEXT(Table1[[#This Row],[Date]],"mmm")</f>
        <v>Feb</v>
      </c>
      <c r="G396" s="7">
        <v>14287</v>
      </c>
      <c r="H396">
        <v>370</v>
      </c>
    </row>
    <row r="397" spans="1:8" x14ac:dyDescent="0.25">
      <c r="A397" t="s">
        <v>23</v>
      </c>
      <c r="B397" t="s">
        <v>26</v>
      </c>
      <c r="C397" t="s">
        <v>35</v>
      </c>
      <c r="D397" s="2">
        <v>44706</v>
      </c>
      <c r="E397" s="1" t="str">
        <f>TEXT(Table1[[#This Row],[Date]],"ddd")</f>
        <v>Wed</v>
      </c>
      <c r="F397" s="1" t="str">
        <f>TEXT(Table1[[#This Row],[Date]],"mmm")</f>
        <v>May</v>
      </c>
      <c r="G397" s="7">
        <v>16233</v>
      </c>
      <c r="H397">
        <v>138</v>
      </c>
    </row>
    <row r="398" spans="1:8" x14ac:dyDescent="0.25">
      <c r="A398" t="s">
        <v>36</v>
      </c>
      <c r="B398" t="s">
        <v>21</v>
      </c>
      <c r="C398" t="s">
        <v>56</v>
      </c>
      <c r="D398" s="2">
        <v>44614</v>
      </c>
      <c r="E398" s="1" t="str">
        <f>TEXT(Table1[[#This Row],[Date]],"ddd")</f>
        <v>Tue</v>
      </c>
      <c r="F398" s="1" t="str">
        <f>TEXT(Table1[[#This Row],[Date]],"mmm")</f>
        <v>Feb</v>
      </c>
      <c r="G398" s="7">
        <v>5313</v>
      </c>
      <c r="H398">
        <v>215</v>
      </c>
    </row>
    <row r="399" spans="1:8" x14ac:dyDescent="0.25">
      <c r="A399" t="s">
        <v>9</v>
      </c>
      <c r="B399" t="s">
        <v>7</v>
      </c>
      <c r="C399" t="s">
        <v>11</v>
      </c>
      <c r="D399" s="2">
        <v>44753</v>
      </c>
      <c r="E399" s="1" t="str">
        <f>TEXT(Table1[[#This Row],[Date]],"ddd")</f>
        <v>Mon</v>
      </c>
      <c r="F399" s="1" t="str">
        <f>TEXT(Table1[[#This Row],[Date]],"mmm")</f>
        <v>Jul</v>
      </c>
      <c r="G399" s="7">
        <v>3577</v>
      </c>
      <c r="H399">
        <v>134</v>
      </c>
    </row>
    <row r="400" spans="1:8" x14ac:dyDescent="0.25">
      <c r="A400" t="s">
        <v>33</v>
      </c>
      <c r="B400" t="s">
        <v>29</v>
      </c>
      <c r="C400" t="s">
        <v>39</v>
      </c>
      <c r="D400" s="2">
        <v>44564</v>
      </c>
      <c r="E400" s="1" t="str">
        <f>TEXT(Table1[[#This Row],[Date]],"ddd")</f>
        <v>Mon</v>
      </c>
      <c r="F400" s="1" t="str">
        <f>TEXT(Table1[[#This Row],[Date]],"mmm")</f>
        <v>Jan</v>
      </c>
      <c r="G400" s="7">
        <v>3528</v>
      </c>
      <c r="H400">
        <v>336</v>
      </c>
    </row>
    <row r="401" spans="1:8" x14ac:dyDescent="0.25">
      <c r="A401" t="s">
        <v>24</v>
      </c>
      <c r="B401" t="s">
        <v>21</v>
      </c>
      <c r="C401" t="s">
        <v>58</v>
      </c>
      <c r="D401" s="2">
        <v>44797</v>
      </c>
      <c r="E401" s="1" t="str">
        <f>TEXT(Table1[[#This Row],[Date]],"ddd")</f>
        <v>Wed</v>
      </c>
      <c r="F401" s="1" t="str">
        <f>TEXT(Table1[[#This Row],[Date]],"mmm")</f>
        <v>Aug</v>
      </c>
      <c r="G401" s="7">
        <v>679</v>
      </c>
      <c r="H401">
        <v>280</v>
      </c>
    </row>
    <row r="402" spans="1:8" x14ac:dyDescent="0.25">
      <c r="A402" t="s">
        <v>34</v>
      </c>
      <c r="B402" t="s">
        <v>26</v>
      </c>
      <c r="C402" t="s">
        <v>22</v>
      </c>
      <c r="D402" s="2">
        <v>44770</v>
      </c>
      <c r="E402" s="1" t="str">
        <f>TEXT(Table1[[#This Row],[Date]],"ddd")</f>
        <v>Thu</v>
      </c>
      <c r="F402" s="1" t="str">
        <f>TEXT(Table1[[#This Row],[Date]],"mmm")</f>
        <v>Jul</v>
      </c>
      <c r="G402" s="7">
        <v>2450</v>
      </c>
      <c r="H402">
        <v>352</v>
      </c>
    </row>
    <row r="403" spans="1:8" x14ac:dyDescent="0.25">
      <c r="A403" t="s">
        <v>23</v>
      </c>
      <c r="B403" t="s">
        <v>26</v>
      </c>
      <c r="C403" t="s">
        <v>8</v>
      </c>
      <c r="D403" s="2">
        <v>44706</v>
      </c>
      <c r="E403" s="1" t="str">
        <f>TEXT(Table1[[#This Row],[Date]],"ddd")</f>
        <v>Wed</v>
      </c>
      <c r="F403" s="1" t="str">
        <f>TEXT(Table1[[#This Row],[Date]],"mmm")</f>
        <v>May</v>
      </c>
      <c r="G403" s="7">
        <v>10577</v>
      </c>
      <c r="H403">
        <v>150</v>
      </c>
    </row>
    <row r="404" spans="1:8" x14ac:dyDescent="0.25">
      <c r="A404" t="s">
        <v>31</v>
      </c>
      <c r="B404" t="s">
        <v>21</v>
      </c>
      <c r="C404" t="s">
        <v>30</v>
      </c>
      <c r="D404" s="2">
        <v>44687</v>
      </c>
      <c r="E404" s="1" t="str">
        <f>TEXT(Table1[[#This Row],[Date]],"ddd")</f>
        <v>Fri</v>
      </c>
      <c r="F404" s="1" t="str">
        <f>TEXT(Table1[[#This Row],[Date]],"mmm")</f>
        <v>May</v>
      </c>
      <c r="G404" s="7">
        <v>2597</v>
      </c>
      <c r="H404">
        <v>177</v>
      </c>
    </row>
    <row r="405" spans="1:8" x14ac:dyDescent="0.25">
      <c r="A405" t="s">
        <v>25</v>
      </c>
      <c r="B405" t="s">
        <v>10</v>
      </c>
      <c r="C405" t="s">
        <v>32</v>
      </c>
      <c r="D405" s="2">
        <v>44589</v>
      </c>
      <c r="E405" s="1" t="str">
        <f>TEXT(Table1[[#This Row],[Date]],"ddd")</f>
        <v>Fri</v>
      </c>
      <c r="F405" s="1" t="str">
        <f>TEXT(Table1[[#This Row],[Date]],"mmm")</f>
        <v>Jan</v>
      </c>
      <c r="G405" s="7">
        <v>2219</v>
      </c>
      <c r="H405">
        <v>142</v>
      </c>
    </row>
    <row r="406" spans="1:8" x14ac:dyDescent="0.25">
      <c r="A406" t="s">
        <v>33</v>
      </c>
      <c r="B406" t="s">
        <v>7</v>
      </c>
      <c r="C406" t="s">
        <v>27</v>
      </c>
      <c r="D406" s="2">
        <v>44718</v>
      </c>
      <c r="E406" s="1" t="str">
        <f>TEXT(Table1[[#This Row],[Date]],"ddd")</f>
        <v>Mon</v>
      </c>
      <c r="F406" s="1" t="str">
        <f>TEXT(Table1[[#This Row],[Date]],"mmm")</f>
        <v>Jun</v>
      </c>
      <c r="G406" s="7">
        <v>11319</v>
      </c>
      <c r="H406">
        <v>12</v>
      </c>
    </row>
    <row r="407" spans="1:8" x14ac:dyDescent="0.25">
      <c r="A407" t="s">
        <v>23</v>
      </c>
      <c r="B407" t="s">
        <v>21</v>
      </c>
      <c r="C407" t="s">
        <v>56</v>
      </c>
      <c r="D407" s="2">
        <v>44754</v>
      </c>
      <c r="E407" s="1" t="str">
        <f>TEXT(Table1[[#This Row],[Date]],"ddd")</f>
        <v>Tue</v>
      </c>
      <c r="F407" s="1" t="str">
        <f>TEXT(Table1[[#This Row],[Date]],"mmm")</f>
        <v>Jul</v>
      </c>
      <c r="G407" s="7">
        <v>5978</v>
      </c>
      <c r="H407">
        <v>24</v>
      </c>
    </row>
    <row r="408" spans="1:8" x14ac:dyDescent="0.25">
      <c r="A408" t="s">
        <v>55</v>
      </c>
      <c r="B408" t="s">
        <v>29</v>
      </c>
      <c r="C408" t="s">
        <v>39</v>
      </c>
      <c r="D408" s="2">
        <v>44778</v>
      </c>
      <c r="E408" s="1" t="str">
        <f>TEXT(Table1[[#This Row],[Date]],"ddd")</f>
        <v>Fri</v>
      </c>
      <c r="F408" s="1" t="str">
        <f>TEXT(Table1[[#This Row],[Date]],"mmm")</f>
        <v>Aug</v>
      </c>
      <c r="G408" s="7">
        <v>5327</v>
      </c>
      <c r="H408">
        <v>183</v>
      </c>
    </row>
    <row r="409" spans="1:8" x14ac:dyDescent="0.25">
      <c r="A409" t="s">
        <v>23</v>
      </c>
      <c r="B409" t="s">
        <v>26</v>
      </c>
      <c r="C409" t="s">
        <v>27</v>
      </c>
      <c r="D409" s="2">
        <v>44589</v>
      </c>
      <c r="E409" s="1" t="str">
        <f>TEXT(Table1[[#This Row],[Date]],"ddd")</f>
        <v>Fri</v>
      </c>
      <c r="F409" s="1" t="str">
        <f>TEXT(Table1[[#This Row],[Date]],"mmm")</f>
        <v>Jan</v>
      </c>
      <c r="G409" s="7">
        <v>6020</v>
      </c>
      <c r="H409">
        <v>147</v>
      </c>
    </row>
    <row r="410" spans="1:8" x14ac:dyDescent="0.25">
      <c r="A410" t="s">
        <v>41</v>
      </c>
      <c r="B410" t="s">
        <v>10</v>
      </c>
      <c r="C410" t="s">
        <v>39</v>
      </c>
      <c r="D410" s="2">
        <v>44804</v>
      </c>
      <c r="E410" s="1" t="str">
        <f>TEXT(Table1[[#This Row],[Date]],"ddd")</f>
        <v>Wed</v>
      </c>
      <c r="F410" s="1" t="str">
        <f>TEXT(Table1[[#This Row],[Date]],"mmm")</f>
        <v>Aug</v>
      </c>
      <c r="G410" s="7">
        <v>5614</v>
      </c>
      <c r="H410">
        <v>137</v>
      </c>
    </row>
    <row r="411" spans="1:8" x14ac:dyDescent="0.25">
      <c r="A411" t="s">
        <v>28</v>
      </c>
      <c r="B411" t="s">
        <v>26</v>
      </c>
      <c r="C411" t="s">
        <v>22</v>
      </c>
      <c r="D411" s="2">
        <v>44670</v>
      </c>
      <c r="E411" s="1" t="str">
        <f>TEXT(Table1[[#This Row],[Date]],"ddd")</f>
        <v>Tue</v>
      </c>
      <c r="F411" s="1" t="str">
        <f>TEXT(Table1[[#This Row],[Date]],"mmm")</f>
        <v>Apr</v>
      </c>
      <c r="G411" s="7">
        <v>1736</v>
      </c>
      <c r="H411">
        <v>13</v>
      </c>
    </row>
    <row r="412" spans="1:8" x14ac:dyDescent="0.25">
      <c r="A412" t="s">
        <v>28</v>
      </c>
      <c r="B412" t="s">
        <v>7</v>
      </c>
      <c r="C412" t="s">
        <v>8</v>
      </c>
      <c r="D412" s="2">
        <v>44741</v>
      </c>
      <c r="E412" s="1" t="str">
        <f>TEXT(Table1[[#This Row],[Date]],"ddd")</f>
        <v>Wed</v>
      </c>
      <c r="F412" s="1" t="str">
        <f>TEXT(Table1[[#This Row],[Date]],"mmm")</f>
        <v>Jun</v>
      </c>
      <c r="G412" s="7">
        <v>6384</v>
      </c>
      <c r="H412">
        <v>2</v>
      </c>
    </row>
    <row r="413" spans="1:8" x14ac:dyDescent="0.25">
      <c r="A413" t="s">
        <v>34</v>
      </c>
      <c r="B413" t="s">
        <v>10</v>
      </c>
      <c r="C413" t="s">
        <v>52</v>
      </c>
      <c r="D413" s="2">
        <v>44616</v>
      </c>
      <c r="E413" s="1" t="str">
        <f>TEXT(Table1[[#This Row],[Date]],"ddd")</f>
        <v>Thu</v>
      </c>
      <c r="F413" s="1" t="str">
        <f>TEXT(Table1[[#This Row],[Date]],"mmm")</f>
        <v>Feb</v>
      </c>
      <c r="G413" s="7">
        <v>3577</v>
      </c>
      <c r="H413">
        <v>261</v>
      </c>
    </row>
    <row r="414" spans="1:8" x14ac:dyDescent="0.25">
      <c r="A414" t="s">
        <v>53</v>
      </c>
      <c r="B414" t="s">
        <v>7</v>
      </c>
      <c r="C414" t="s">
        <v>16</v>
      </c>
      <c r="D414" s="2">
        <v>44624</v>
      </c>
      <c r="E414" s="1" t="str">
        <f>TEXT(Table1[[#This Row],[Date]],"ddd")</f>
        <v>Fri</v>
      </c>
      <c r="F414" s="1" t="str">
        <f>TEXT(Table1[[#This Row],[Date]],"mmm")</f>
        <v>Mar</v>
      </c>
      <c r="G414" s="7">
        <v>14539</v>
      </c>
      <c r="H414">
        <v>84</v>
      </c>
    </row>
    <row r="415" spans="1:8" x14ac:dyDescent="0.25">
      <c r="A415" t="s">
        <v>12</v>
      </c>
      <c r="B415" t="s">
        <v>10</v>
      </c>
      <c r="C415" t="s">
        <v>30</v>
      </c>
      <c r="D415" s="2">
        <v>44733</v>
      </c>
      <c r="E415" s="1" t="str">
        <f>TEXT(Table1[[#This Row],[Date]],"ddd")</f>
        <v>Tue</v>
      </c>
      <c r="F415" s="1" t="str">
        <f>TEXT(Table1[[#This Row],[Date]],"mmm")</f>
        <v>Jun</v>
      </c>
      <c r="G415" s="7">
        <v>3493</v>
      </c>
      <c r="H415">
        <v>68</v>
      </c>
    </row>
    <row r="416" spans="1:8" x14ac:dyDescent="0.25">
      <c r="A416" t="s">
        <v>24</v>
      </c>
      <c r="B416" t="s">
        <v>15</v>
      </c>
      <c r="C416" t="s">
        <v>35</v>
      </c>
      <c r="D416" s="2">
        <v>44587</v>
      </c>
      <c r="E416" s="1" t="str">
        <f>TEXT(Table1[[#This Row],[Date]],"ddd")</f>
        <v>Wed</v>
      </c>
      <c r="F416" s="1" t="str">
        <f>TEXT(Table1[[#This Row],[Date]],"mmm")</f>
        <v>Jan</v>
      </c>
      <c r="G416" s="7">
        <v>994</v>
      </c>
      <c r="H416">
        <v>105</v>
      </c>
    </row>
    <row r="417" spans="1:8" x14ac:dyDescent="0.25">
      <c r="A417" t="s">
        <v>17</v>
      </c>
      <c r="B417" t="s">
        <v>21</v>
      </c>
      <c r="C417" t="s">
        <v>44</v>
      </c>
      <c r="D417" s="2">
        <v>44722</v>
      </c>
      <c r="E417" s="1" t="str">
        <f>TEXT(Table1[[#This Row],[Date]],"ddd")</f>
        <v>Fri</v>
      </c>
      <c r="F417" s="1" t="str">
        <f>TEXT(Table1[[#This Row],[Date]],"mmm")</f>
        <v>Jun</v>
      </c>
      <c r="G417" s="7">
        <v>4361</v>
      </c>
      <c r="H417">
        <v>40</v>
      </c>
    </row>
    <row r="418" spans="1:8" x14ac:dyDescent="0.25">
      <c r="A418" t="s">
        <v>48</v>
      </c>
      <c r="B418" t="s">
        <v>7</v>
      </c>
      <c r="C418" t="s">
        <v>32</v>
      </c>
      <c r="D418" s="2">
        <v>44704</v>
      </c>
      <c r="E418" s="1" t="str">
        <f>TEXT(Table1[[#This Row],[Date]],"ddd")</f>
        <v>Mon</v>
      </c>
      <c r="F418" s="1" t="str">
        <f>TEXT(Table1[[#This Row],[Date]],"mmm")</f>
        <v>May</v>
      </c>
      <c r="G418" s="7">
        <v>1554</v>
      </c>
      <c r="H418">
        <v>65</v>
      </c>
    </row>
    <row r="419" spans="1:8" x14ac:dyDescent="0.25">
      <c r="A419" t="s">
        <v>49</v>
      </c>
      <c r="B419" t="s">
        <v>10</v>
      </c>
      <c r="C419" t="s">
        <v>37</v>
      </c>
      <c r="D419" s="2">
        <v>44666</v>
      </c>
      <c r="E419" s="1" t="str">
        <f>TEXT(Table1[[#This Row],[Date]],"ddd")</f>
        <v>Fri</v>
      </c>
      <c r="F419" s="1" t="str">
        <f>TEXT(Table1[[#This Row],[Date]],"mmm")</f>
        <v>Apr</v>
      </c>
      <c r="G419" s="7">
        <v>966</v>
      </c>
      <c r="H419">
        <v>107</v>
      </c>
    </row>
    <row r="420" spans="1:8" x14ac:dyDescent="0.25">
      <c r="A420" t="s">
        <v>31</v>
      </c>
      <c r="B420" t="s">
        <v>21</v>
      </c>
      <c r="C420" t="s">
        <v>57</v>
      </c>
      <c r="D420" s="2">
        <v>44592</v>
      </c>
      <c r="E420" s="1" t="str">
        <f>TEXT(Table1[[#This Row],[Date]],"ddd")</f>
        <v>Mon</v>
      </c>
      <c r="F420" s="1" t="str">
        <f>TEXT(Table1[[#This Row],[Date]],"mmm")</f>
        <v>Jan</v>
      </c>
      <c r="G420" s="7">
        <v>5334</v>
      </c>
      <c r="H420">
        <v>227</v>
      </c>
    </row>
    <row r="421" spans="1:8" x14ac:dyDescent="0.25">
      <c r="A421" t="s">
        <v>48</v>
      </c>
      <c r="B421" t="s">
        <v>21</v>
      </c>
      <c r="C421" t="s">
        <v>35</v>
      </c>
      <c r="D421" s="2">
        <v>44624</v>
      </c>
      <c r="E421" s="1" t="str">
        <f>TEXT(Table1[[#This Row],[Date]],"ddd")</f>
        <v>Fri</v>
      </c>
      <c r="F421" s="1" t="str">
        <f>TEXT(Table1[[#This Row],[Date]],"mmm")</f>
        <v>Mar</v>
      </c>
      <c r="G421" s="7">
        <v>4935</v>
      </c>
      <c r="H421">
        <v>39</v>
      </c>
    </row>
    <row r="422" spans="1:8" x14ac:dyDescent="0.25">
      <c r="A422" t="s">
        <v>25</v>
      </c>
      <c r="B422" t="s">
        <v>21</v>
      </c>
      <c r="C422" t="s">
        <v>20</v>
      </c>
      <c r="D422" s="2">
        <v>44670</v>
      </c>
      <c r="E422" s="1" t="str">
        <f>TEXT(Table1[[#This Row],[Date]],"ddd")</f>
        <v>Tue</v>
      </c>
      <c r="F422" s="1" t="str">
        <f>TEXT(Table1[[#This Row],[Date]],"mmm")</f>
        <v>Apr</v>
      </c>
      <c r="G422" s="7">
        <v>10024</v>
      </c>
      <c r="H422">
        <v>84</v>
      </c>
    </row>
    <row r="423" spans="1:8" x14ac:dyDescent="0.25">
      <c r="A423" t="s">
        <v>34</v>
      </c>
      <c r="B423" t="s">
        <v>7</v>
      </c>
      <c r="C423" t="s">
        <v>47</v>
      </c>
      <c r="D423" s="2">
        <v>44697</v>
      </c>
      <c r="E423" s="1" t="str">
        <f>TEXT(Table1[[#This Row],[Date]],"ddd")</f>
        <v>Mon</v>
      </c>
      <c r="F423" s="1" t="str">
        <f>TEXT(Table1[[#This Row],[Date]],"mmm")</f>
        <v>May</v>
      </c>
      <c r="G423" s="7">
        <v>2506</v>
      </c>
      <c r="H423">
        <v>100</v>
      </c>
    </row>
    <row r="424" spans="1:8" x14ac:dyDescent="0.25">
      <c r="A424" t="s">
        <v>17</v>
      </c>
      <c r="B424" t="s">
        <v>15</v>
      </c>
      <c r="C424" t="s">
        <v>51</v>
      </c>
      <c r="D424" s="2">
        <v>44609</v>
      </c>
      <c r="E424" s="1" t="str">
        <f>TEXT(Table1[[#This Row],[Date]],"ddd")</f>
        <v>Thu</v>
      </c>
      <c r="F424" s="1" t="str">
        <f>TEXT(Table1[[#This Row],[Date]],"mmm")</f>
        <v>Feb</v>
      </c>
      <c r="G424" s="7">
        <v>1043</v>
      </c>
      <c r="H424">
        <v>120</v>
      </c>
    </row>
    <row r="425" spans="1:8" x14ac:dyDescent="0.25">
      <c r="A425" t="s">
        <v>43</v>
      </c>
      <c r="B425" t="s">
        <v>26</v>
      </c>
      <c r="C425" t="s">
        <v>51</v>
      </c>
      <c r="D425" s="2">
        <v>44579</v>
      </c>
      <c r="E425" s="1" t="str">
        <f>TEXT(Table1[[#This Row],[Date]],"ddd")</f>
        <v>Tue</v>
      </c>
      <c r="F425" s="1" t="str">
        <f>TEXT(Table1[[#This Row],[Date]],"mmm")</f>
        <v>Jan</v>
      </c>
      <c r="G425" s="7">
        <v>6524</v>
      </c>
      <c r="H425">
        <v>257</v>
      </c>
    </row>
    <row r="426" spans="1:8" x14ac:dyDescent="0.25">
      <c r="A426" t="s">
        <v>36</v>
      </c>
      <c r="B426" t="s">
        <v>29</v>
      </c>
      <c r="C426" t="s">
        <v>27</v>
      </c>
      <c r="D426" s="2">
        <v>44601</v>
      </c>
      <c r="E426" s="1" t="str">
        <f>TEXT(Table1[[#This Row],[Date]],"ddd")</f>
        <v>Wed</v>
      </c>
      <c r="F426" s="1" t="str">
        <f>TEXT(Table1[[#This Row],[Date]],"mmm")</f>
        <v>Feb</v>
      </c>
      <c r="G426" s="7">
        <v>8148</v>
      </c>
      <c r="H426">
        <v>85</v>
      </c>
    </row>
    <row r="427" spans="1:8" x14ac:dyDescent="0.25">
      <c r="A427" t="s">
        <v>28</v>
      </c>
      <c r="B427" t="s">
        <v>29</v>
      </c>
      <c r="C427" t="s">
        <v>27</v>
      </c>
      <c r="D427" s="2">
        <v>44643</v>
      </c>
      <c r="E427" s="1" t="str">
        <f>TEXT(Table1[[#This Row],[Date]],"ddd")</f>
        <v>Wed</v>
      </c>
      <c r="F427" s="1" t="str">
        <f>TEXT(Table1[[#This Row],[Date]],"mmm")</f>
        <v>Mar</v>
      </c>
      <c r="G427" s="7">
        <v>3577</v>
      </c>
      <c r="H427">
        <v>178</v>
      </c>
    </row>
    <row r="428" spans="1:8" x14ac:dyDescent="0.25">
      <c r="A428" t="s">
        <v>53</v>
      </c>
      <c r="B428" t="s">
        <v>21</v>
      </c>
      <c r="C428" t="s">
        <v>57</v>
      </c>
      <c r="D428" s="2">
        <v>44593</v>
      </c>
      <c r="E428" s="1" t="str">
        <f>TEXT(Table1[[#This Row],[Date]],"ddd")</f>
        <v>Tue</v>
      </c>
      <c r="F428" s="1" t="str">
        <f>TEXT(Table1[[#This Row],[Date]],"mmm")</f>
        <v>Feb</v>
      </c>
      <c r="G428" s="7">
        <v>3374</v>
      </c>
      <c r="H428">
        <v>151</v>
      </c>
    </row>
    <row r="429" spans="1:8" x14ac:dyDescent="0.25">
      <c r="A429" t="s">
        <v>28</v>
      </c>
      <c r="B429" t="s">
        <v>10</v>
      </c>
      <c r="C429" t="s">
        <v>32</v>
      </c>
      <c r="D429" s="2">
        <v>44627</v>
      </c>
      <c r="E429" s="1" t="str">
        <f>TEXT(Table1[[#This Row],[Date]],"ddd")</f>
        <v>Mon</v>
      </c>
      <c r="F429" s="1" t="str">
        <f>TEXT(Table1[[#This Row],[Date]],"mmm")</f>
        <v>Mar</v>
      </c>
      <c r="G429" s="7">
        <v>3948</v>
      </c>
      <c r="H429">
        <v>142</v>
      </c>
    </row>
    <row r="430" spans="1:8" x14ac:dyDescent="0.25">
      <c r="A430" t="s">
        <v>55</v>
      </c>
      <c r="B430" t="s">
        <v>7</v>
      </c>
      <c r="C430" t="s">
        <v>44</v>
      </c>
      <c r="D430" s="2">
        <v>44564</v>
      </c>
      <c r="E430" s="1" t="str">
        <f>TEXT(Table1[[#This Row],[Date]],"ddd")</f>
        <v>Mon</v>
      </c>
      <c r="F430" s="1" t="str">
        <f>TEXT(Table1[[#This Row],[Date]],"mmm")</f>
        <v>Jan</v>
      </c>
      <c r="G430" s="7">
        <v>3269</v>
      </c>
      <c r="H430">
        <v>226</v>
      </c>
    </row>
    <row r="431" spans="1:8" x14ac:dyDescent="0.25">
      <c r="A431" t="s">
        <v>55</v>
      </c>
      <c r="B431" t="s">
        <v>26</v>
      </c>
      <c r="C431" t="s">
        <v>44</v>
      </c>
      <c r="D431" s="2">
        <v>44603</v>
      </c>
      <c r="E431" s="1" t="str">
        <f>TEXT(Table1[[#This Row],[Date]],"ddd")</f>
        <v>Fri</v>
      </c>
      <c r="F431" s="1" t="str">
        <f>TEXT(Table1[[#This Row],[Date]],"mmm")</f>
        <v>Feb</v>
      </c>
      <c r="G431" s="7">
        <v>5271</v>
      </c>
      <c r="H431">
        <v>341</v>
      </c>
    </row>
    <row r="432" spans="1:8" x14ac:dyDescent="0.25">
      <c r="A432" t="s">
        <v>43</v>
      </c>
      <c r="B432" t="s">
        <v>21</v>
      </c>
      <c r="C432" t="s">
        <v>27</v>
      </c>
      <c r="D432" s="2">
        <v>44636</v>
      </c>
      <c r="E432" s="1" t="str">
        <f>TEXT(Table1[[#This Row],[Date]],"ddd")</f>
        <v>Wed</v>
      </c>
      <c r="F432" s="1" t="str">
        <f>TEXT(Table1[[#This Row],[Date]],"mmm")</f>
        <v>Mar</v>
      </c>
      <c r="G432" s="7">
        <v>4571</v>
      </c>
      <c r="H432">
        <v>140</v>
      </c>
    </row>
    <row r="433" spans="1:8" x14ac:dyDescent="0.25">
      <c r="A433" t="s">
        <v>54</v>
      </c>
      <c r="B433" t="s">
        <v>10</v>
      </c>
      <c r="C433" t="s">
        <v>44</v>
      </c>
      <c r="D433" s="2">
        <v>44788</v>
      </c>
      <c r="E433" s="1" t="str">
        <f>TEXT(Table1[[#This Row],[Date]],"ddd")</f>
        <v>Mon</v>
      </c>
      <c r="F433" s="1" t="str">
        <f>TEXT(Table1[[#This Row],[Date]],"mmm")</f>
        <v>Aug</v>
      </c>
      <c r="G433" s="7">
        <v>12327</v>
      </c>
      <c r="H433">
        <v>330</v>
      </c>
    </row>
    <row r="434" spans="1:8" x14ac:dyDescent="0.25">
      <c r="A434" t="s">
        <v>12</v>
      </c>
      <c r="B434" t="s">
        <v>10</v>
      </c>
      <c r="C434" t="s">
        <v>45</v>
      </c>
      <c r="D434" s="2">
        <v>44693</v>
      </c>
      <c r="E434" s="1" t="str">
        <f>TEXT(Table1[[#This Row],[Date]],"ddd")</f>
        <v>Thu</v>
      </c>
      <c r="F434" s="1" t="str">
        <f>TEXT(Table1[[#This Row],[Date]],"mmm")</f>
        <v>May</v>
      </c>
      <c r="G434" s="7">
        <v>4935</v>
      </c>
      <c r="H434">
        <v>73</v>
      </c>
    </row>
    <row r="435" spans="1:8" x14ac:dyDescent="0.25">
      <c r="A435" t="s">
        <v>9</v>
      </c>
      <c r="B435" t="s">
        <v>10</v>
      </c>
      <c r="C435" t="s">
        <v>39</v>
      </c>
      <c r="D435" s="2">
        <v>44662</v>
      </c>
      <c r="E435" s="1" t="str">
        <f>TEXT(Table1[[#This Row],[Date]],"ddd")</f>
        <v>Mon</v>
      </c>
      <c r="F435" s="1" t="str">
        <f>TEXT(Table1[[#This Row],[Date]],"mmm")</f>
        <v>Apr</v>
      </c>
      <c r="G435" s="7">
        <v>6167</v>
      </c>
      <c r="H435">
        <v>4</v>
      </c>
    </row>
    <row r="436" spans="1:8" x14ac:dyDescent="0.25">
      <c r="A436" t="s">
        <v>14</v>
      </c>
      <c r="B436" t="s">
        <v>21</v>
      </c>
      <c r="C436" t="s">
        <v>8</v>
      </c>
      <c r="D436" s="2">
        <v>44742</v>
      </c>
      <c r="E436" s="1" t="str">
        <f>TEXT(Table1[[#This Row],[Date]],"ddd")</f>
        <v>Thu</v>
      </c>
      <c r="F436" s="1" t="str">
        <f>TEXT(Table1[[#This Row],[Date]],"mmm")</f>
        <v>Jun</v>
      </c>
      <c r="G436" s="7">
        <v>18340</v>
      </c>
      <c r="H436">
        <v>285</v>
      </c>
    </row>
    <row r="437" spans="1:8" x14ac:dyDescent="0.25">
      <c r="A437" t="s">
        <v>54</v>
      </c>
      <c r="B437" t="s">
        <v>21</v>
      </c>
      <c r="C437" t="s">
        <v>44</v>
      </c>
      <c r="D437" s="2">
        <v>44727</v>
      </c>
      <c r="E437" s="1" t="str">
        <f>TEXT(Table1[[#This Row],[Date]],"ddd")</f>
        <v>Wed</v>
      </c>
      <c r="F437" s="1" t="str">
        <f>TEXT(Table1[[#This Row],[Date]],"mmm")</f>
        <v>Jun</v>
      </c>
      <c r="G437" s="7">
        <v>7014</v>
      </c>
      <c r="H437">
        <v>60</v>
      </c>
    </row>
    <row r="438" spans="1:8" x14ac:dyDescent="0.25">
      <c r="A438" t="s">
        <v>24</v>
      </c>
      <c r="B438" t="s">
        <v>29</v>
      </c>
      <c r="C438" t="s">
        <v>57</v>
      </c>
      <c r="D438" s="2">
        <v>44774</v>
      </c>
      <c r="E438" s="1" t="str">
        <f>TEXT(Table1[[#This Row],[Date]],"ddd")</f>
        <v>Mon</v>
      </c>
      <c r="F438" s="1" t="str">
        <f>TEXT(Table1[[#This Row],[Date]],"mmm")</f>
        <v>Aug</v>
      </c>
      <c r="G438" s="7">
        <v>7119</v>
      </c>
      <c r="H438">
        <v>101</v>
      </c>
    </row>
    <row r="439" spans="1:8" x14ac:dyDescent="0.25">
      <c r="A439" t="s">
        <v>41</v>
      </c>
      <c r="B439" t="s">
        <v>26</v>
      </c>
      <c r="C439" t="s">
        <v>37</v>
      </c>
      <c r="D439" s="2">
        <v>44727</v>
      </c>
      <c r="E439" s="1" t="str">
        <f>TEXT(Table1[[#This Row],[Date]],"ddd")</f>
        <v>Wed</v>
      </c>
      <c r="F439" s="1" t="str">
        <f>TEXT(Table1[[#This Row],[Date]],"mmm")</f>
        <v>Jun</v>
      </c>
      <c r="G439" s="7">
        <v>15491</v>
      </c>
      <c r="H439">
        <v>58</v>
      </c>
    </row>
    <row r="440" spans="1:8" x14ac:dyDescent="0.25">
      <c r="A440" t="s">
        <v>23</v>
      </c>
      <c r="B440" t="s">
        <v>10</v>
      </c>
      <c r="C440" t="s">
        <v>20</v>
      </c>
      <c r="D440" s="2">
        <v>44728</v>
      </c>
      <c r="E440" s="1" t="str">
        <f>TEXT(Table1[[#This Row],[Date]],"ddd")</f>
        <v>Thu</v>
      </c>
      <c r="F440" s="1" t="str">
        <f>TEXT(Table1[[#This Row],[Date]],"mmm")</f>
        <v>Jun</v>
      </c>
      <c r="G440" s="7">
        <v>5747</v>
      </c>
      <c r="H440">
        <v>45</v>
      </c>
    </row>
    <row r="441" spans="1:8" x14ac:dyDescent="0.25">
      <c r="A441" t="s">
        <v>17</v>
      </c>
      <c r="B441" t="s">
        <v>21</v>
      </c>
      <c r="C441" t="s">
        <v>51</v>
      </c>
      <c r="D441" s="2">
        <v>44694</v>
      </c>
      <c r="E441" s="1" t="str">
        <f>TEXT(Table1[[#This Row],[Date]],"ddd")</f>
        <v>Fri</v>
      </c>
      <c r="F441" s="1" t="str">
        <f>TEXT(Table1[[#This Row],[Date]],"mmm")</f>
        <v>May</v>
      </c>
      <c r="G441" s="7">
        <v>4550</v>
      </c>
      <c r="H441">
        <v>281</v>
      </c>
    </row>
    <row r="442" spans="1:8" x14ac:dyDescent="0.25">
      <c r="A442" t="s">
        <v>43</v>
      </c>
      <c r="B442" t="s">
        <v>26</v>
      </c>
      <c r="C442" t="s">
        <v>32</v>
      </c>
      <c r="D442" s="2">
        <v>44691</v>
      </c>
      <c r="E442" s="1" t="str">
        <f>TEXT(Table1[[#This Row],[Date]],"ddd")</f>
        <v>Tue</v>
      </c>
      <c r="F442" s="1" t="str">
        <f>TEXT(Table1[[#This Row],[Date]],"mmm")</f>
        <v>May</v>
      </c>
      <c r="G442" s="7">
        <v>2191</v>
      </c>
      <c r="H442">
        <v>138</v>
      </c>
    </row>
    <row r="443" spans="1:8" x14ac:dyDescent="0.25">
      <c r="A443" t="s">
        <v>17</v>
      </c>
      <c r="B443" t="s">
        <v>10</v>
      </c>
      <c r="C443" t="s">
        <v>30</v>
      </c>
      <c r="D443" s="2">
        <v>44798</v>
      </c>
      <c r="E443" s="1" t="str">
        <f>TEXT(Table1[[#This Row],[Date]],"ddd")</f>
        <v>Thu</v>
      </c>
      <c r="F443" s="1" t="str">
        <f>TEXT(Table1[[#This Row],[Date]],"mmm")</f>
        <v>Aug</v>
      </c>
      <c r="G443" s="7">
        <v>5663</v>
      </c>
      <c r="H443">
        <v>322</v>
      </c>
    </row>
    <row r="444" spans="1:8" x14ac:dyDescent="0.25">
      <c r="A444" t="s">
        <v>55</v>
      </c>
      <c r="B444" t="s">
        <v>21</v>
      </c>
      <c r="C444" t="s">
        <v>35</v>
      </c>
      <c r="D444" s="2">
        <v>44757</v>
      </c>
      <c r="E444" s="1" t="str">
        <f>TEXT(Table1[[#This Row],[Date]],"ddd")</f>
        <v>Fri</v>
      </c>
      <c r="F444" s="1" t="str">
        <f>TEXT(Table1[[#This Row],[Date]],"mmm")</f>
        <v>Jul</v>
      </c>
      <c r="G444" s="7">
        <v>7623</v>
      </c>
      <c r="H444">
        <v>85</v>
      </c>
    </row>
    <row r="445" spans="1:8" x14ac:dyDescent="0.25">
      <c r="A445" t="s">
        <v>12</v>
      </c>
      <c r="B445" t="s">
        <v>7</v>
      </c>
      <c r="C445" t="s">
        <v>56</v>
      </c>
      <c r="D445" s="2">
        <v>44697</v>
      </c>
      <c r="E445" s="1" t="str">
        <f>TEXT(Table1[[#This Row],[Date]],"ddd")</f>
        <v>Mon</v>
      </c>
      <c r="F445" s="1" t="str">
        <f>TEXT(Table1[[#This Row],[Date]],"mmm")</f>
        <v>May</v>
      </c>
      <c r="G445" s="7">
        <v>9023</v>
      </c>
      <c r="H445">
        <v>409</v>
      </c>
    </row>
    <row r="446" spans="1:8" x14ac:dyDescent="0.25">
      <c r="A446" t="s">
        <v>14</v>
      </c>
      <c r="B446" t="s">
        <v>15</v>
      </c>
      <c r="C446" t="s">
        <v>22</v>
      </c>
      <c r="D446" s="2">
        <v>44726</v>
      </c>
      <c r="E446" s="1" t="str">
        <f>TEXT(Table1[[#This Row],[Date]],"ddd")</f>
        <v>Tue</v>
      </c>
      <c r="F446" s="1" t="str">
        <f>TEXT(Table1[[#This Row],[Date]],"mmm")</f>
        <v>Jun</v>
      </c>
      <c r="G446" s="7">
        <v>3402</v>
      </c>
      <c r="H446">
        <v>182</v>
      </c>
    </row>
    <row r="447" spans="1:8" x14ac:dyDescent="0.25">
      <c r="A447" t="s">
        <v>34</v>
      </c>
      <c r="B447" t="s">
        <v>15</v>
      </c>
      <c r="C447" t="s">
        <v>16</v>
      </c>
      <c r="D447" s="2">
        <v>44586</v>
      </c>
      <c r="E447" s="1" t="str">
        <f>TEXT(Table1[[#This Row],[Date]],"ddd")</f>
        <v>Tue</v>
      </c>
      <c r="F447" s="1" t="str">
        <f>TEXT(Table1[[#This Row],[Date]],"mmm")</f>
        <v>Jan</v>
      </c>
      <c r="G447" s="7">
        <v>10507</v>
      </c>
      <c r="H447">
        <v>467</v>
      </c>
    </row>
    <row r="448" spans="1:8" x14ac:dyDescent="0.25">
      <c r="A448" t="s">
        <v>55</v>
      </c>
      <c r="B448" t="s">
        <v>26</v>
      </c>
      <c r="C448" t="s">
        <v>35</v>
      </c>
      <c r="D448" s="2">
        <v>44770</v>
      </c>
      <c r="E448" s="1" t="str">
        <f>TEXT(Table1[[#This Row],[Date]],"ddd")</f>
        <v>Thu</v>
      </c>
      <c r="F448" s="1" t="str">
        <f>TEXT(Table1[[#This Row],[Date]],"mmm")</f>
        <v>Jul</v>
      </c>
      <c r="G448" s="7">
        <v>7721</v>
      </c>
      <c r="H448">
        <v>14</v>
      </c>
    </row>
    <row r="449" spans="1:8" x14ac:dyDescent="0.25">
      <c r="A449" t="s">
        <v>23</v>
      </c>
      <c r="B449" t="s">
        <v>29</v>
      </c>
      <c r="C449" t="s">
        <v>8</v>
      </c>
      <c r="D449" s="2">
        <v>44589</v>
      </c>
      <c r="E449" s="1" t="str">
        <f>TEXT(Table1[[#This Row],[Date]],"ddd")</f>
        <v>Fri</v>
      </c>
      <c r="F449" s="1" t="str">
        <f>TEXT(Table1[[#This Row],[Date]],"mmm")</f>
        <v>Jan</v>
      </c>
      <c r="G449" s="7">
        <v>5033</v>
      </c>
      <c r="H449">
        <v>178</v>
      </c>
    </row>
    <row r="450" spans="1:8" x14ac:dyDescent="0.25">
      <c r="A450" t="s">
        <v>41</v>
      </c>
      <c r="B450" t="s">
        <v>7</v>
      </c>
      <c r="C450" t="s">
        <v>27</v>
      </c>
      <c r="D450" s="2">
        <v>44741</v>
      </c>
      <c r="E450" s="1" t="str">
        <f>TEXT(Table1[[#This Row],[Date]],"ddd")</f>
        <v>Wed</v>
      </c>
      <c r="F450" s="1" t="str">
        <f>TEXT(Table1[[#This Row],[Date]],"mmm")</f>
        <v>Jun</v>
      </c>
      <c r="G450" s="7">
        <v>1960</v>
      </c>
      <c r="H450">
        <v>191</v>
      </c>
    </row>
    <row r="451" spans="1:8" x14ac:dyDescent="0.25">
      <c r="A451" t="s">
        <v>31</v>
      </c>
      <c r="B451" t="s">
        <v>15</v>
      </c>
      <c r="C451" t="s">
        <v>58</v>
      </c>
      <c r="D451" s="2">
        <v>44736</v>
      </c>
      <c r="E451" s="1" t="str">
        <f>TEXT(Table1[[#This Row],[Date]],"ddd")</f>
        <v>Fri</v>
      </c>
      <c r="F451" s="1" t="str">
        <f>TEXT(Table1[[#This Row],[Date]],"mmm")</f>
        <v>Jun</v>
      </c>
      <c r="G451" s="7">
        <v>238</v>
      </c>
      <c r="H451">
        <v>317</v>
      </c>
    </row>
    <row r="452" spans="1:8" x14ac:dyDescent="0.25">
      <c r="A452" t="s">
        <v>19</v>
      </c>
      <c r="B452" t="s">
        <v>29</v>
      </c>
      <c r="C452" t="s">
        <v>8</v>
      </c>
      <c r="D452" s="2">
        <v>44743</v>
      </c>
      <c r="E452" s="1" t="str">
        <f>TEXT(Table1[[#This Row],[Date]],"ddd")</f>
        <v>Fri</v>
      </c>
      <c r="F452" s="1" t="str">
        <f>TEXT(Table1[[#This Row],[Date]],"mmm")</f>
        <v>Jul</v>
      </c>
      <c r="G452" s="7">
        <v>7756</v>
      </c>
      <c r="H452">
        <v>410</v>
      </c>
    </row>
    <row r="453" spans="1:8" x14ac:dyDescent="0.25">
      <c r="A453" t="s">
        <v>36</v>
      </c>
      <c r="B453" t="s">
        <v>26</v>
      </c>
      <c r="C453" t="s">
        <v>13</v>
      </c>
      <c r="D453" s="2">
        <v>44617</v>
      </c>
      <c r="E453" s="1" t="str">
        <f>TEXT(Table1[[#This Row],[Date]],"ddd")</f>
        <v>Fri</v>
      </c>
      <c r="F453" s="1" t="str">
        <f>TEXT(Table1[[#This Row],[Date]],"mmm")</f>
        <v>Feb</v>
      </c>
      <c r="G453" s="7">
        <v>1736</v>
      </c>
      <c r="H453">
        <v>137</v>
      </c>
    </row>
    <row r="454" spans="1:8" x14ac:dyDescent="0.25">
      <c r="A454" t="s">
        <v>38</v>
      </c>
      <c r="B454" t="s">
        <v>29</v>
      </c>
      <c r="C454" t="s">
        <v>16</v>
      </c>
      <c r="D454" s="2">
        <v>44774</v>
      </c>
      <c r="E454" s="1" t="str">
        <f>TEXT(Table1[[#This Row],[Date]],"ddd")</f>
        <v>Mon</v>
      </c>
      <c r="F454" s="1" t="str">
        <f>TEXT(Table1[[#This Row],[Date]],"mmm")</f>
        <v>Aug</v>
      </c>
      <c r="G454" s="7">
        <v>2660</v>
      </c>
      <c r="H454">
        <v>12</v>
      </c>
    </row>
    <row r="455" spans="1:8" x14ac:dyDescent="0.25">
      <c r="A455" t="s">
        <v>17</v>
      </c>
      <c r="B455" t="s">
        <v>15</v>
      </c>
      <c r="C455" t="s">
        <v>37</v>
      </c>
      <c r="D455" s="2">
        <v>44733</v>
      </c>
      <c r="E455" s="1" t="str">
        <f>TEXT(Table1[[#This Row],[Date]],"ddd")</f>
        <v>Tue</v>
      </c>
      <c r="F455" s="1" t="str">
        <f>TEXT(Table1[[#This Row],[Date]],"mmm")</f>
        <v>Jun</v>
      </c>
      <c r="G455" s="7">
        <v>7672</v>
      </c>
      <c r="H455">
        <v>254</v>
      </c>
    </row>
    <row r="456" spans="1:8" x14ac:dyDescent="0.25">
      <c r="A456" t="s">
        <v>50</v>
      </c>
      <c r="B456" t="s">
        <v>21</v>
      </c>
      <c r="C456" t="s">
        <v>39</v>
      </c>
      <c r="D456" s="2">
        <v>44586</v>
      </c>
      <c r="E456" s="1" t="str">
        <f>TEXT(Table1[[#This Row],[Date]],"ddd")</f>
        <v>Tue</v>
      </c>
      <c r="F456" s="1" t="str">
        <f>TEXT(Table1[[#This Row],[Date]],"mmm")</f>
        <v>Jan</v>
      </c>
      <c r="G456" s="7">
        <v>11564</v>
      </c>
      <c r="H456">
        <v>24</v>
      </c>
    </row>
    <row r="457" spans="1:8" x14ac:dyDescent="0.25">
      <c r="A457" t="s">
        <v>12</v>
      </c>
      <c r="B457" t="s">
        <v>7</v>
      </c>
      <c r="C457" t="s">
        <v>37</v>
      </c>
      <c r="D457" s="2">
        <v>44698</v>
      </c>
      <c r="E457" s="1" t="str">
        <f>TEXT(Table1[[#This Row],[Date]],"ddd")</f>
        <v>Tue</v>
      </c>
      <c r="F457" s="1" t="str">
        <f>TEXT(Table1[[#This Row],[Date]],"mmm")</f>
        <v>May</v>
      </c>
      <c r="G457" s="7">
        <v>1365</v>
      </c>
      <c r="H457">
        <v>232</v>
      </c>
    </row>
    <row r="458" spans="1:8" x14ac:dyDescent="0.25">
      <c r="A458" t="s">
        <v>48</v>
      </c>
      <c r="B458" t="s">
        <v>15</v>
      </c>
      <c r="C458" t="s">
        <v>11</v>
      </c>
      <c r="D458" s="2">
        <v>44796</v>
      </c>
      <c r="E458" s="1" t="str">
        <f>TEXT(Table1[[#This Row],[Date]],"ddd")</f>
        <v>Tue</v>
      </c>
      <c r="F458" s="1" t="str">
        <f>TEXT(Table1[[#This Row],[Date]],"mmm")</f>
        <v>Aug</v>
      </c>
      <c r="G458" s="7">
        <v>4186</v>
      </c>
      <c r="H458">
        <v>233</v>
      </c>
    </row>
    <row r="459" spans="1:8" x14ac:dyDescent="0.25">
      <c r="A459" t="s">
        <v>50</v>
      </c>
      <c r="B459" t="s">
        <v>15</v>
      </c>
      <c r="C459" t="s">
        <v>16</v>
      </c>
      <c r="D459" s="2">
        <v>44623</v>
      </c>
      <c r="E459" s="1" t="str">
        <f>TEXT(Table1[[#This Row],[Date]],"ddd")</f>
        <v>Thu</v>
      </c>
      <c r="F459" s="1" t="str">
        <f>TEXT(Table1[[#This Row],[Date]],"mmm")</f>
        <v>Mar</v>
      </c>
      <c r="G459" s="7">
        <v>7406</v>
      </c>
      <c r="H459">
        <v>118</v>
      </c>
    </row>
    <row r="460" spans="1:8" x14ac:dyDescent="0.25">
      <c r="A460" t="s">
        <v>36</v>
      </c>
      <c r="B460" t="s">
        <v>10</v>
      </c>
      <c r="C460" t="s">
        <v>57</v>
      </c>
      <c r="D460" s="2">
        <v>44711</v>
      </c>
      <c r="E460" s="1" t="str">
        <f>TEXT(Table1[[#This Row],[Date]],"ddd")</f>
        <v>Mon</v>
      </c>
      <c r="F460" s="1" t="str">
        <f>TEXT(Table1[[#This Row],[Date]],"mmm")</f>
        <v>May</v>
      </c>
      <c r="G460" s="7">
        <v>8911</v>
      </c>
      <c r="H460">
        <v>543</v>
      </c>
    </row>
    <row r="461" spans="1:8" x14ac:dyDescent="0.25">
      <c r="A461" t="s">
        <v>31</v>
      </c>
      <c r="B461" t="s">
        <v>26</v>
      </c>
      <c r="C461" t="s">
        <v>32</v>
      </c>
      <c r="D461" s="2">
        <v>44741</v>
      </c>
      <c r="E461" s="1" t="str">
        <f>TEXT(Table1[[#This Row],[Date]],"ddd")</f>
        <v>Wed</v>
      </c>
      <c r="F461" s="1" t="str">
        <f>TEXT(Table1[[#This Row],[Date]],"mmm")</f>
        <v>Jun</v>
      </c>
      <c r="G461" s="7">
        <v>112</v>
      </c>
      <c r="H461">
        <v>223</v>
      </c>
    </row>
    <row r="462" spans="1:8" x14ac:dyDescent="0.25">
      <c r="A462" t="s">
        <v>48</v>
      </c>
      <c r="B462" t="s">
        <v>29</v>
      </c>
      <c r="C462" t="s">
        <v>35</v>
      </c>
      <c r="D462" s="2">
        <v>44565</v>
      </c>
      <c r="E462" s="1" t="str">
        <f>TEXT(Table1[[#This Row],[Date]],"ddd")</f>
        <v>Tue</v>
      </c>
      <c r="F462" s="1" t="str">
        <f>TEXT(Table1[[#This Row],[Date]],"mmm")</f>
        <v>Jan</v>
      </c>
      <c r="G462" s="7">
        <v>8204</v>
      </c>
      <c r="H462">
        <v>204</v>
      </c>
    </row>
    <row r="463" spans="1:8" x14ac:dyDescent="0.25">
      <c r="A463" t="s">
        <v>6</v>
      </c>
      <c r="B463" t="s">
        <v>15</v>
      </c>
      <c r="C463" t="s">
        <v>32</v>
      </c>
      <c r="D463" s="2">
        <v>44575</v>
      </c>
      <c r="E463" s="1" t="str">
        <f>TEXT(Table1[[#This Row],[Date]],"ddd")</f>
        <v>Fri</v>
      </c>
      <c r="F463" s="1" t="str">
        <f>TEXT(Table1[[#This Row],[Date]],"mmm")</f>
        <v>Jan</v>
      </c>
      <c r="G463" s="7">
        <v>2611</v>
      </c>
      <c r="H463">
        <v>65</v>
      </c>
    </row>
    <row r="464" spans="1:8" x14ac:dyDescent="0.25">
      <c r="A464" t="s">
        <v>31</v>
      </c>
      <c r="B464" t="s">
        <v>26</v>
      </c>
      <c r="C464" t="s">
        <v>8</v>
      </c>
      <c r="D464" s="2">
        <v>44607</v>
      </c>
      <c r="E464" s="1" t="str">
        <f>TEXT(Table1[[#This Row],[Date]],"ddd")</f>
        <v>Tue</v>
      </c>
      <c r="F464" s="1" t="str">
        <f>TEXT(Table1[[#This Row],[Date]],"mmm")</f>
        <v>Feb</v>
      </c>
      <c r="G464" s="7">
        <v>15652</v>
      </c>
      <c r="H464">
        <v>53</v>
      </c>
    </row>
    <row r="465" spans="1:8" x14ac:dyDescent="0.25">
      <c r="A465" t="s">
        <v>38</v>
      </c>
      <c r="B465" t="s">
        <v>21</v>
      </c>
      <c r="C465" t="s">
        <v>39</v>
      </c>
      <c r="D465" s="2">
        <v>44571</v>
      </c>
      <c r="E465" s="1" t="str">
        <f>TEXT(Table1[[#This Row],[Date]],"ddd")</f>
        <v>Mon</v>
      </c>
      <c r="F465" s="1" t="str">
        <f>TEXT(Table1[[#This Row],[Date]],"mmm")</f>
        <v>Jan</v>
      </c>
      <c r="G465" s="7">
        <v>4074</v>
      </c>
      <c r="H465">
        <v>469</v>
      </c>
    </row>
    <row r="466" spans="1:8" x14ac:dyDescent="0.25">
      <c r="A466" t="s">
        <v>53</v>
      </c>
      <c r="B466" t="s">
        <v>26</v>
      </c>
      <c r="C466" t="s">
        <v>44</v>
      </c>
      <c r="D466" s="2">
        <v>44685</v>
      </c>
      <c r="E466" s="1" t="str">
        <f>TEXT(Table1[[#This Row],[Date]],"ddd")</f>
        <v>Wed</v>
      </c>
      <c r="F466" s="1" t="str">
        <f>TEXT(Table1[[#This Row],[Date]],"mmm")</f>
        <v>May</v>
      </c>
      <c r="G466" s="7">
        <v>12250</v>
      </c>
      <c r="H466">
        <v>213</v>
      </c>
    </row>
    <row r="467" spans="1:8" x14ac:dyDescent="0.25">
      <c r="A467" t="s">
        <v>48</v>
      </c>
      <c r="B467" t="s">
        <v>26</v>
      </c>
      <c r="C467" t="s">
        <v>39</v>
      </c>
      <c r="D467" s="2">
        <v>44704</v>
      </c>
      <c r="E467" s="1" t="str">
        <f>TEXT(Table1[[#This Row],[Date]],"ddd")</f>
        <v>Mon</v>
      </c>
      <c r="F467" s="1" t="str">
        <f>TEXT(Table1[[#This Row],[Date]],"mmm")</f>
        <v>May</v>
      </c>
      <c r="G467" s="7">
        <v>2366</v>
      </c>
      <c r="H467">
        <v>5</v>
      </c>
    </row>
    <row r="468" spans="1:8" x14ac:dyDescent="0.25">
      <c r="A468" t="s">
        <v>25</v>
      </c>
      <c r="B468" t="s">
        <v>21</v>
      </c>
      <c r="C468" t="s">
        <v>42</v>
      </c>
      <c r="D468" s="2">
        <v>44677</v>
      </c>
      <c r="E468" s="1" t="str">
        <f>TEXT(Table1[[#This Row],[Date]],"ddd")</f>
        <v>Tue</v>
      </c>
      <c r="F468" s="1" t="str">
        <f>TEXT(Table1[[#This Row],[Date]],"mmm")</f>
        <v>Apr</v>
      </c>
      <c r="G468" s="7">
        <v>1687</v>
      </c>
      <c r="H468">
        <v>147</v>
      </c>
    </row>
    <row r="469" spans="1:8" x14ac:dyDescent="0.25">
      <c r="A469" t="s">
        <v>17</v>
      </c>
      <c r="B469" t="s">
        <v>29</v>
      </c>
      <c r="C469" t="s">
        <v>35</v>
      </c>
      <c r="D469" s="2">
        <v>44747</v>
      </c>
      <c r="E469" s="1" t="str">
        <f>TEXT(Table1[[#This Row],[Date]],"ddd")</f>
        <v>Tue</v>
      </c>
      <c r="F469" s="1" t="str">
        <f>TEXT(Table1[[#This Row],[Date]],"mmm")</f>
        <v>Jul</v>
      </c>
      <c r="G469" s="7">
        <v>1232</v>
      </c>
      <c r="H469">
        <v>74</v>
      </c>
    </row>
    <row r="470" spans="1:8" x14ac:dyDescent="0.25">
      <c r="A470" t="s">
        <v>53</v>
      </c>
      <c r="B470" t="s">
        <v>7</v>
      </c>
      <c r="C470" t="s">
        <v>35</v>
      </c>
      <c r="D470" s="2">
        <v>44763</v>
      </c>
      <c r="E470" s="1" t="str">
        <f>TEXT(Table1[[#This Row],[Date]],"ddd")</f>
        <v>Thu</v>
      </c>
      <c r="F470" s="1" t="str">
        <f>TEXT(Table1[[#This Row],[Date]],"mmm")</f>
        <v>Jul</v>
      </c>
      <c r="G470" s="7">
        <v>6965</v>
      </c>
      <c r="H470">
        <v>163</v>
      </c>
    </row>
    <row r="471" spans="1:8" x14ac:dyDescent="0.25">
      <c r="A471" t="s">
        <v>54</v>
      </c>
      <c r="B471" t="s">
        <v>26</v>
      </c>
      <c r="C471" t="s">
        <v>8</v>
      </c>
      <c r="D471" s="2">
        <v>44613</v>
      </c>
      <c r="E471" s="1" t="str">
        <f>TEXT(Table1[[#This Row],[Date]],"ddd")</f>
        <v>Mon</v>
      </c>
      <c r="F471" s="1" t="str">
        <f>TEXT(Table1[[#This Row],[Date]],"mmm")</f>
        <v>Feb</v>
      </c>
      <c r="G471" s="7">
        <v>5292</v>
      </c>
      <c r="H471">
        <v>248</v>
      </c>
    </row>
    <row r="472" spans="1:8" x14ac:dyDescent="0.25">
      <c r="A472" t="s">
        <v>49</v>
      </c>
      <c r="B472" t="s">
        <v>26</v>
      </c>
      <c r="C472" t="s">
        <v>27</v>
      </c>
      <c r="D472" s="2">
        <v>44595</v>
      </c>
      <c r="E472" s="1" t="str">
        <f>TEXT(Table1[[#This Row],[Date]],"ddd")</f>
        <v>Thu</v>
      </c>
      <c r="F472" s="1" t="str">
        <f>TEXT(Table1[[#This Row],[Date]],"mmm")</f>
        <v>Feb</v>
      </c>
      <c r="G472" s="7">
        <v>1379</v>
      </c>
      <c r="H472">
        <v>138</v>
      </c>
    </row>
    <row r="473" spans="1:8" x14ac:dyDescent="0.25">
      <c r="A473" t="s">
        <v>12</v>
      </c>
      <c r="B473" t="s">
        <v>15</v>
      </c>
      <c r="C473" t="s">
        <v>57</v>
      </c>
      <c r="D473" s="2">
        <v>44750</v>
      </c>
      <c r="E473" s="1" t="str">
        <f>TEXT(Table1[[#This Row],[Date]],"ddd")</f>
        <v>Fri</v>
      </c>
      <c r="F473" s="1" t="str">
        <f>TEXT(Table1[[#This Row],[Date]],"mmm")</f>
        <v>Jul</v>
      </c>
      <c r="G473" s="7">
        <v>8001</v>
      </c>
      <c r="H473">
        <v>151</v>
      </c>
    </row>
    <row r="474" spans="1:8" x14ac:dyDescent="0.25">
      <c r="A474" t="s">
        <v>28</v>
      </c>
      <c r="B474" t="s">
        <v>10</v>
      </c>
      <c r="C474" t="s">
        <v>22</v>
      </c>
      <c r="D474" s="2">
        <v>44712</v>
      </c>
      <c r="E474" s="1" t="str">
        <f>TEXT(Table1[[#This Row],[Date]],"ddd")</f>
        <v>Tue</v>
      </c>
      <c r="F474" s="1" t="str">
        <f>TEXT(Table1[[#This Row],[Date]],"mmm")</f>
        <v>May</v>
      </c>
      <c r="G474" s="7">
        <v>588</v>
      </c>
      <c r="H474">
        <v>139</v>
      </c>
    </row>
    <row r="475" spans="1:8" x14ac:dyDescent="0.25">
      <c r="A475" t="s">
        <v>9</v>
      </c>
      <c r="B475" t="s">
        <v>21</v>
      </c>
      <c r="C475" t="s">
        <v>8</v>
      </c>
      <c r="D475" s="2">
        <v>44739</v>
      </c>
      <c r="E475" s="1" t="str">
        <f>TEXT(Table1[[#This Row],[Date]],"ddd")</f>
        <v>Mon</v>
      </c>
      <c r="F475" s="1" t="str">
        <f>TEXT(Table1[[#This Row],[Date]],"mmm")</f>
        <v>Jun</v>
      </c>
      <c r="G475" s="7">
        <v>4046</v>
      </c>
      <c r="H475">
        <v>103</v>
      </c>
    </row>
    <row r="476" spans="1:8" x14ac:dyDescent="0.25">
      <c r="A476" t="s">
        <v>9</v>
      </c>
      <c r="B476" t="s">
        <v>10</v>
      </c>
      <c r="C476" t="s">
        <v>22</v>
      </c>
      <c r="D476" s="2">
        <v>44694</v>
      </c>
      <c r="E476" s="1" t="str">
        <f>TEXT(Table1[[#This Row],[Date]],"ddd")</f>
        <v>Fri</v>
      </c>
      <c r="F476" s="1" t="str">
        <f>TEXT(Table1[[#This Row],[Date]],"mmm")</f>
        <v>May</v>
      </c>
      <c r="G476" s="7">
        <v>5103</v>
      </c>
      <c r="H476">
        <v>129</v>
      </c>
    </row>
    <row r="477" spans="1:8" x14ac:dyDescent="0.25">
      <c r="A477" t="s">
        <v>9</v>
      </c>
      <c r="B477" t="s">
        <v>26</v>
      </c>
      <c r="C477" t="s">
        <v>45</v>
      </c>
      <c r="D477" s="2">
        <v>44712</v>
      </c>
      <c r="E477" s="1" t="str">
        <f>TEXT(Table1[[#This Row],[Date]],"ddd")</f>
        <v>Tue</v>
      </c>
      <c r="F477" s="1" t="str">
        <f>TEXT(Table1[[#This Row],[Date]],"mmm")</f>
        <v>May</v>
      </c>
      <c r="G477" s="7">
        <v>2317</v>
      </c>
      <c r="H477">
        <v>102</v>
      </c>
    </row>
    <row r="478" spans="1:8" x14ac:dyDescent="0.25">
      <c r="A478" t="s">
        <v>46</v>
      </c>
      <c r="B478" t="s">
        <v>26</v>
      </c>
      <c r="C478" t="s">
        <v>27</v>
      </c>
      <c r="D478" s="2">
        <v>44620</v>
      </c>
      <c r="E478" s="1" t="str">
        <f>TEXT(Table1[[#This Row],[Date]],"ddd")</f>
        <v>Mon</v>
      </c>
      <c r="F478" s="1" t="str">
        <f>TEXT(Table1[[#This Row],[Date]],"mmm")</f>
        <v>Feb</v>
      </c>
      <c r="G478" s="7">
        <v>7042</v>
      </c>
      <c r="H478">
        <v>37</v>
      </c>
    </row>
    <row r="479" spans="1:8" x14ac:dyDescent="0.25">
      <c r="A479" t="s">
        <v>25</v>
      </c>
      <c r="B479" t="s">
        <v>21</v>
      </c>
      <c r="C479" t="s">
        <v>30</v>
      </c>
      <c r="D479" s="2">
        <v>44648</v>
      </c>
      <c r="E479" s="1" t="str">
        <f>TEXT(Table1[[#This Row],[Date]],"ddd")</f>
        <v>Mon</v>
      </c>
      <c r="F479" s="1" t="str">
        <f>TEXT(Table1[[#This Row],[Date]],"mmm")</f>
        <v>Mar</v>
      </c>
      <c r="G479" s="7">
        <v>6713</v>
      </c>
      <c r="H479">
        <v>31</v>
      </c>
    </row>
    <row r="480" spans="1:8" x14ac:dyDescent="0.25">
      <c r="A480" t="s">
        <v>12</v>
      </c>
      <c r="B480" t="s">
        <v>26</v>
      </c>
      <c r="C480" t="s">
        <v>20</v>
      </c>
      <c r="D480" s="2">
        <v>44575</v>
      </c>
      <c r="E480" s="1" t="str">
        <f>TEXT(Table1[[#This Row],[Date]],"ddd")</f>
        <v>Fri</v>
      </c>
      <c r="F480" s="1" t="str">
        <f>TEXT(Table1[[#This Row],[Date]],"mmm")</f>
        <v>Jan</v>
      </c>
      <c r="G480" s="7">
        <v>1848</v>
      </c>
      <c r="H480">
        <v>227</v>
      </c>
    </row>
    <row r="481" spans="1:8" x14ac:dyDescent="0.25">
      <c r="A481" t="s">
        <v>25</v>
      </c>
      <c r="B481" t="s">
        <v>21</v>
      </c>
      <c r="C481" t="s">
        <v>8</v>
      </c>
      <c r="D481" s="2">
        <v>44613</v>
      </c>
      <c r="E481" s="1" t="str">
        <f>TEXT(Table1[[#This Row],[Date]],"ddd")</f>
        <v>Mon</v>
      </c>
      <c r="F481" s="1" t="str">
        <f>TEXT(Table1[[#This Row],[Date]],"mmm")</f>
        <v>Feb</v>
      </c>
      <c r="G481" s="7">
        <v>6440</v>
      </c>
      <c r="H481">
        <v>145</v>
      </c>
    </row>
    <row r="482" spans="1:8" x14ac:dyDescent="0.25">
      <c r="A482" t="s">
        <v>43</v>
      </c>
      <c r="B482" t="s">
        <v>29</v>
      </c>
      <c r="C482" t="s">
        <v>11</v>
      </c>
      <c r="D482" s="2">
        <v>44774</v>
      </c>
      <c r="E482" s="1" t="str">
        <f>TEXT(Table1[[#This Row],[Date]],"ddd")</f>
        <v>Mon</v>
      </c>
      <c r="F482" s="1" t="str">
        <f>TEXT(Table1[[#This Row],[Date]],"mmm")</f>
        <v>Aug</v>
      </c>
      <c r="G482" s="7">
        <v>10885</v>
      </c>
      <c r="H482">
        <v>90</v>
      </c>
    </row>
    <row r="483" spans="1:8" x14ac:dyDescent="0.25">
      <c r="A483" t="s">
        <v>34</v>
      </c>
      <c r="B483" t="s">
        <v>21</v>
      </c>
      <c r="C483" t="s">
        <v>16</v>
      </c>
      <c r="D483" s="2">
        <v>44700</v>
      </c>
      <c r="E483" s="1" t="str">
        <f>TEXT(Table1[[#This Row],[Date]],"ddd")</f>
        <v>Thu</v>
      </c>
      <c r="F483" s="1" t="str">
        <f>TEXT(Table1[[#This Row],[Date]],"mmm")</f>
        <v>May</v>
      </c>
      <c r="G483" s="7">
        <v>2387</v>
      </c>
      <c r="H483">
        <v>59</v>
      </c>
    </row>
    <row r="484" spans="1:8" x14ac:dyDescent="0.25">
      <c r="A484" t="s">
        <v>40</v>
      </c>
      <c r="B484" t="s">
        <v>26</v>
      </c>
      <c r="C484" t="s">
        <v>44</v>
      </c>
      <c r="D484" s="2">
        <v>44755</v>
      </c>
      <c r="E484" s="1" t="str">
        <f>TEXT(Table1[[#This Row],[Date]],"ddd")</f>
        <v>Wed</v>
      </c>
      <c r="F484" s="1" t="str">
        <f>TEXT(Table1[[#This Row],[Date]],"mmm")</f>
        <v>Jul</v>
      </c>
      <c r="G484" s="7">
        <v>2030</v>
      </c>
      <c r="H484">
        <v>60</v>
      </c>
    </row>
    <row r="485" spans="1:8" x14ac:dyDescent="0.25">
      <c r="A485" t="s">
        <v>48</v>
      </c>
      <c r="B485" t="s">
        <v>15</v>
      </c>
      <c r="C485" t="s">
        <v>13</v>
      </c>
      <c r="D485" s="2">
        <v>44671</v>
      </c>
      <c r="E485" s="1" t="str">
        <f>TEXT(Table1[[#This Row],[Date]],"ddd")</f>
        <v>Wed</v>
      </c>
      <c r="F485" s="1" t="str">
        <f>TEXT(Table1[[#This Row],[Date]],"mmm")</f>
        <v>Apr</v>
      </c>
      <c r="G485" s="7">
        <v>6678</v>
      </c>
      <c r="H485">
        <v>148</v>
      </c>
    </row>
    <row r="486" spans="1:8" x14ac:dyDescent="0.25">
      <c r="A486" t="s">
        <v>43</v>
      </c>
      <c r="B486" t="s">
        <v>10</v>
      </c>
      <c r="C486" t="s">
        <v>11</v>
      </c>
      <c r="D486" s="2">
        <v>44742</v>
      </c>
      <c r="E486" s="1" t="str">
        <f>TEXT(Table1[[#This Row],[Date]],"ddd")</f>
        <v>Thu</v>
      </c>
      <c r="F486" s="1" t="str">
        <f>TEXT(Table1[[#This Row],[Date]],"mmm")</f>
        <v>Jun</v>
      </c>
      <c r="G486" s="7">
        <v>4515</v>
      </c>
      <c r="H486">
        <v>22</v>
      </c>
    </row>
    <row r="487" spans="1:8" x14ac:dyDescent="0.25">
      <c r="A487" t="s">
        <v>38</v>
      </c>
      <c r="B487" t="s">
        <v>7</v>
      </c>
      <c r="C487" t="s">
        <v>22</v>
      </c>
      <c r="D487" s="2">
        <v>44628</v>
      </c>
      <c r="E487" s="1" t="str">
        <f>TEXT(Table1[[#This Row],[Date]],"ddd")</f>
        <v>Tue</v>
      </c>
      <c r="F487" s="1" t="str">
        <f>TEXT(Table1[[#This Row],[Date]],"mmm")</f>
        <v>Mar</v>
      </c>
      <c r="G487" s="7">
        <v>3374</v>
      </c>
      <c r="H487">
        <v>142</v>
      </c>
    </row>
    <row r="488" spans="1:8" x14ac:dyDescent="0.25">
      <c r="A488" t="s">
        <v>19</v>
      </c>
      <c r="B488" t="s">
        <v>26</v>
      </c>
      <c r="C488" t="s">
        <v>42</v>
      </c>
      <c r="D488" s="2">
        <v>44629</v>
      </c>
      <c r="E488" s="1" t="str">
        <f>TEXT(Table1[[#This Row],[Date]],"ddd")</f>
        <v>Wed</v>
      </c>
      <c r="F488" s="1" t="str">
        <f>TEXT(Table1[[#This Row],[Date]],"mmm")</f>
        <v>Mar</v>
      </c>
      <c r="G488" s="7">
        <v>5852</v>
      </c>
      <c r="H488">
        <v>93</v>
      </c>
    </row>
    <row r="489" spans="1:8" x14ac:dyDescent="0.25">
      <c r="A489" t="s">
        <v>17</v>
      </c>
      <c r="B489" t="s">
        <v>29</v>
      </c>
      <c r="C489" t="s">
        <v>51</v>
      </c>
      <c r="D489" s="2">
        <v>44728</v>
      </c>
      <c r="E489" s="1" t="str">
        <f>TEXT(Table1[[#This Row],[Date]],"ddd")</f>
        <v>Thu</v>
      </c>
      <c r="F489" s="1" t="str">
        <f>TEXT(Table1[[#This Row],[Date]],"mmm")</f>
        <v>Jun</v>
      </c>
      <c r="G489" s="7">
        <v>1750</v>
      </c>
      <c r="H489">
        <v>208</v>
      </c>
    </row>
    <row r="490" spans="1:8" x14ac:dyDescent="0.25">
      <c r="A490" t="s">
        <v>12</v>
      </c>
      <c r="B490" t="s">
        <v>7</v>
      </c>
      <c r="C490" t="s">
        <v>32</v>
      </c>
      <c r="D490" s="2">
        <v>44742</v>
      </c>
      <c r="E490" s="1" t="str">
        <f>TEXT(Table1[[#This Row],[Date]],"ddd")</f>
        <v>Thu</v>
      </c>
      <c r="F490" s="1" t="str">
        <f>TEXT(Table1[[#This Row],[Date]],"mmm")</f>
        <v>Jun</v>
      </c>
      <c r="G490" s="7">
        <v>5782</v>
      </c>
      <c r="H490">
        <v>42</v>
      </c>
    </row>
    <row r="491" spans="1:8" x14ac:dyDescent="0.25">
      <c r="A491" t="s">
        <v>49</v>
      </c>
      <c r="B491" t="s">
        <v>10</v>
      </c>
      <c r="C491" t="s">
        <v>8</v>
      </c>
      <c r="D491" s="2">
        <v>44770</v>
      </c>
      <c r="E491" s="1" t="str">
        <f>TEXT(Table1[[#This Row],[Date]],"ddd")</f>
        <v>Thu</v>
      </c>
      <c r="F491" s="1" t="str">
        <f>TEXT(Table1[[#This Row],[Date]],"mmm")</f>
        <v>Jul</v>
      </c>
      <c r="G491" s="7">
        <v>2870</v>
      </c>
      <c r="H491">
        <v>120</v>
      </c>
    </row>
    <row r="492" spans="1:8" x14ac:dyDescent="0.25">
      <c r="A492" t="s">
        <v>31</v>
      </c>
      <c r="B492" t="s">
        <v>29</v>
      </c>
      <c r="C492" t="s">
        <v>13</v>
      </c>
      <c r="D492" s="2">
        <v>44785</v>
      </c>
      <c r="E492" s="1" t="str">
        <f>TEXT(Table1[[#This Row],[Date]],"ddd")</f>
        <v>Fri</v>
      </c>
      <c r="F492" s="1" t="str">
        <f>TEXT(Table1[[#This Row],[Date]],"mmm")</f>
        <v>Aug</v>
      </c>
      <c r="G492" s="7">
        <v>3094</v>
      </c>
      <c r="H492">
        <v>159</v>
      </c>
    </row>
    <row r="493" spans="1:8" x14ac:dyDescent="0.25">
      <c r="A493" t="s">
        <v>25</v>
      </c>
      <c r="B493" t="s">
        <v>7</v>
      </c>
      <c r="C493" t="s">
        <v>8</v>
      </c>
      <c r="D493" s="2">
        <v>44749</v>
      </c>
      <c r="E493" s="1" t="str">
        <f>TEXT(Table1[[#This Row],[Date]],"ddd")</f>
        <v>Thu</v>
      </c>
      <c r="F493" s="1" t="str">
        <f>TEXT(Table1[[#This Row],[Date]],"mmm")</f>
        <v>Jul</v>
      </c>
      <c r="G493" s="7">
        <v>3724</v>
      </c>
      <c r="H493">
        <v>316</v>
      </c>
    </row>
    <row r="494" spans="1:8" x14ac:dyDescent="0.25">
      <c r="A494" t="s">
        <v>25</v>
      </c>
      <c r="B494" t="s">
        <v>26</v>
      </c>
      <c r="C494" t="s">
        <v>11</v>
      </c>
      <c r="D494" s="2">
        <v>44798</v>
      </c>
      <c r="E494" s="1" t="str">
        <f>TEXT(Table1[[#This Row],[Date]],"ddd")</f>
        <v>Thu</v>
      </c>
      <c r="F494" s="1" t="str">
        <f>TEXT(Table1[[#This Row],[Date]],"mmm")</f>
        <v>Aug</v>
      </c>
      <c r="G494" s="7">
        <v>12761</v>
      </c>
      <c r="H494">
        <v>47</v>
      </c>
    </row>
    <row r="495" spans="1:8" x14ac:dyDescent="0.25">
      <c r="A495" t="s">
        <v>40</v>
      </c>
      <c r="B495" t="s">
        <v>29</v>
      </c>
      <c r="C495" t="s">
        <v>30</v>
      </c>
      <c r="D495" s="2">
        <v>44578</v>
      </c>
      <c r="E495" s="1" t="str">
        <f>TEXT(Table1[[#This Row],[Date]],"ddd")</f>
        <v>Mon</v>
      </c>
      <c r="F495" s="1" t="str">
        <f>TEXT(Table1[[#This Row],[Date]],"mmm")</f>
        <v>Jan</v>
      </c>
      <c r="G495" s="7">
        <v>3696</v>
      </c>
      <c r="H495">
        <v>233</v>
      </c>
    </row>
    <row r="496" spans="1:8" x14ac:dyDescent="0.25">
      <c r="A496" t="s">
        <v>14</v>
      </c>
      <c r="B496" t="s">
        <v>15</v>
      </c>
      <c r="C496" t="s">
        <v>58</v>
      </c>
      <c r="D496" s="2">
        <v>44624</v>
      </c>
      <c r="E496" s="1" t="str">
        <f>TEXT(Table1[[#This Row],[Date]],"ddd")</f>
        <v>Fri</v>
      </c>
      <c r="F496" s="1" t="str">
        <f>TEXT(Table1[[#This Row],[Date]],"mmm")</f>
        <v>Mar</v>
      </c>
      <c r="G496" s="7">
        <v>5222</v>
      </c>
      <c r="H496">
        <v>384</v>
      </c>
    </row>
    <row r="497" spans="1:8" x14ac:dyDescent="0.25">
      <c r="A497" t="s">
        <v>33</v>
      </c>
      <c r="B497" t="s">
        <v>21</v>
      </c>
      <c r="C497" t="s">
        <v>42</v>
      </c>
      <c r="D497" s="2">
        <v>44798</v>
      </c>
      <c r="E497" s="1" t="str">
        <f>TEXT(Table1[[#This Row],[Date]],"ddd")</f>
        <v>Thu</v>
      </c>
      <c r="F497" s="1" t="str">
        <f>TEXT(Table1[[#This Row],[Date]],"mmm")</f>
        <v>Aug</v>
      </c>
      <c r="G497" s="7">
        <v>8939</v>
      </c>
      <c r="H497">
        <v>4</v>
      </c>
    </row>
    <row r="498" spans="1:8" x14ac:dyDescent="0.25">
      <c r="A498" t="s">
        <v>55</v>
      </c>
      <c r="B498" t="s">
        <v>7</v>
      </c>
      <c r="C498" t="s">
        <v>13</v>
      </c>
      <c r="D498" s="2">
        <v>44666</v>
      </c>
      <c r="E498" s="1" t="str">
        <f>TEXT(Table1[[#This Row],[Date]],"ddd")</f>
        <v>Fri</v>
      </c>
      <c r="F498" s="1" t="str">
        <f>TEXT(Table1[[#This Row],[Date]],"mmm")</f>
        <v>Apr</v>
      </c>
      <c r="G498" s="7">
        <v>2156</v>
      </c>
      <c r="H498">
        <v>260</v>
      </c>
    </row>
    <row r="499" spans="1:8" x14ac:dyDescent="0.25">
      <c r="A499" t="s">
        <v>41</v>
      </c>
      <c r="B499" t="s">
        <v>26</v>
      </c>
      <c r="C499" t="s">
        <v>35</v>
      </c>
      <c r="D499" s="2">
        <v>44631</v>
      </c>
      <c r="E499" s="1" t="str">
        <f>TEXT(Table1[[#This Row],[Date]],"ddd")</f>
        <v>Fri</v>
      </c>
      <c r="F499" s="1" t="str">
        <f>TEXT(Table1[[#This Row],[Date]],"mmm")</f>
        <v>Mar</v>
      </c>
      <c r="G499" s="7">
        <v>2380</v>
      </c>
      <c r="H499">
        <v>22</v>
      </c>
    </row>
    <row r="500" spans="1:8" x14ac:dyDescent="0.25">
      <c r="A500" t="s">
        <v>50</v>
      </c>
      <c r="B500" t="s">
        <v>26</v>
      </c>
      <c r="C500" t="s">
        <v>51</v>
      </c>
      <c r="D500" s="2">
        <v>44701</v>
      </c>
      <c r="E500" s="1" t="str">
        <f>TEXT(Table1[[#This Row],[Date]],"ddd")</f>
        <v>Fri</v>
      </c>
      <c r="F500" s="1" t="str">
        <f>TEXT(Table1[[#This Row],[Date]],"mmm")</f>
        <v>May</v>
      </c>
      <c r="G500" s="7">
        <v>3339</v>
      </c>
      <c r="H500">
        <v>18</v>
      </c>
    </row>
    <row r="501" spans="1:8" x14ac:dyDescent="0.25">
      <c r="A501" t="s">
        <v>23</v>
      </c>
      <c r="B501" t="s">
        <v>21</v>
      </c>
      <c r="C501" t="s">
        <v>45</v>
      </c>
      <c r="D501" s="2">
        <v>44726</v>
      </c>
      <c r="E501" s="1" t="str">
        <f>TEXT(Table1[[#This Row],[Date]],"ddd")</f>
        <v>Tue</v>
      </c>
      <c r="F501" s="1" t="str">
        <f>TEXT(Table1[[#This Row],[Date]],"mmm")</f>
        <v>Jun</v>
      </c>
      <c r="G501" s="7">
        <v>14980</v>
      </c>
      <c r="H501">
        <v>42</v>
      </c>
    </row>
    <row r="502" spans="1:8" x14ac:dyDescent="0.25">
      <c r="A502" t="s">
        <v>6</v>
      </c>
      <c r="B502" t="s">
        <v>21</v>
      </c>
      <c r="C502" t="s">
        <v>20</v>
      </c>
      <c r="D502" s="2">
        <v>44665</v>
      </c>
      <c r="E502" s="1" t="str">
        <f>TEXT(Table1[[#This Row],[Date]],"ddd")</f>
        <v>Thu</v>
      </c>
      <c r="F502" s="1" t="str">
        <f>TEXT(Table1[[#This Row],[Date]],"mmm")</f>
        <v>Apr</v>
      </c>
      <c r="G502" s="7">
        <v>1512</v>
      </c>
      <c r="H502">
        <v>73</v>
      </c>
    </row>
    <row r="503" spans="1:8" x14ac:dyDescent="0.25">
      <c r="A503" t="s">
        <v>6</v>
      </c>
      <c r="B503" t="s">
        <v>26</v>
      </c>
      <c r="C503" t="s">
        <v>16</v>
      </c>
      <c r="D503" s="2">
        <v>44749</v>
      </c>
      <c r="E503" s="1" t="str">
        <f>TEXT(Table1[[#This Row],[Date]],"ddd")</f>
        <v>Thu</v>
      </c>
      <c r="F503" s="1" t="str">
        <f>TEXT(Table1[[#This Row],[Date]],"mmm")</f>
        <v>Jul</v>
      </c>
      <c r="G503" s="7">
        <v>6657</v>
      </c>
      <c r="H503">
        <v>154</v>
      </c>
    </row>
    <row r="504" spans="1:8" x14ac:dyDescent="0.25">
      <c r="A504" t="s">
        <v>53</v>
      </c>
      <c r="B504" t="s">
        <v>10</v>
      </c>
      <c r="C504" t="s">
        <v>8</v>
      </c>
      <c r="D504" s="2">
        <v>44797</v>
      </c>
      <c r="E504" s="1" t="str">
        <f>TEXT(Table1[[#This Row],[Date]],"ddd")</f>
        <v>Wed</v>
      </c>
      <c r="F504" s="1" t="str">
        <f>TEXT(Table1[[#This Row],[Date]],"mmm")</f>
        <v>Aug</v>
      </c>
      <c r="G504" s="7">
        <v>3836</v>
      </c>
      <c r="H504">
        <v>71</v>
      </c>
    </row>
    <row r="505" spans="1:8" x14ac:dyDescent="0.25">
      <c r="A505" t="s">
        <v>6</v>
      </c>
      <c r="B505" t="s">
        <v>10</v>
      </c>
      <c r="C505" t="s">
        <v>30</v>
      </c>
      <c r="D505" s="2">
        <v>44616</v>
      </c>
      <c r="E505" s="1" t="str">
        <f>TEXT(Table1[[#This Row],[Date]],"ddd")</f>
        <v>Thu</v>
      </c>
      <c r="F505" s="1" t="str">
        <f>TEXT(Table1[[#This Row],[Date]],"mmm")</f>
        <v>Feb</v>
      </c>
      <c r="G505" s="7">
        <v>8771</v>
      </c>
      <c r="H505">
        <v>127</v>
      </c>
    </row>
    <row r="506" spans="1:8" x14ac:dyDescent="0.25">
      <c r="A506" t="s">
        <v>31</v>
      </c>
      <c r="B506" t="s">
        <v>29</v>
      </c>
      <c r="C506" t="s">
        <v>51</v>
      </c>
      <c r="D506" s="2">
        <v>44690</v>
      </c>
      <c r="E506" s="1" t="str">
        <f>TEXT(Table1[[#This Row],[Date]],"ddd")</f>
        <v>Mon</v>
      </c>
      <c r="F506" s="1" t="str">
        <f>TEXT(Table1[[#This Row],[Date]],"mmm")</f>
        <v>May</v>
      </c>
      <c r="G506" s="7">
        <v>651</v>
      </c>
      <c r="H506">
        <v>224</v>
      </c>
    </row>
    <row r="507" spans="1:8" x14ac:dyDescent="0.25">
      <c r="A507" t="s">
        <v>41</v>
      </c>
      <c r="B507" t="s">
        <v>15</v>
      </c>
      <c r="C507" t="s">
        <v>58</v>
      </c>
      <c r="D507" s="2">
        <v>44600</v>
      </c>
      <c r="E507" s="1" t="str">
        <f>TEXT(Table1[[#This Row],[Date]],"ddd")</f>
        <v>Tue</v>
      </c>
      <c r="F507" s="1" t="str">
        <f>TEXT(Table1[[#This Row],[Date]],"mmm")</f>
        <v>Feb</v>
      </c>
      <c r="G507" s="7">
        <v>6706</v>
      </c>
      <c r="H507">
        <v>223</v>
      </c>
    </row>
    <row r="508" spans="1:8" x14ac:dyDescent="0.25">
      <c r="A508" t="s">
        <v>36</v>
      </c>
      <c r="B508" t="s">
        <v>7</v>
      </c>
      <c r="C508" t="s">
        <v>58</v>
      </c>
      <c r="D508" s="2">
        <v>44644</v>
      </c>
      <c r="E508" s="1" t="str">
        <f>TEXT(Table1[[#This Row],[Date]],"ddd")</f>
        <v>Thu</v>
      </c>
      <c r="F508" s="1" t="str">
        <f>TEXT(Table1[[#This Row],[Date]],"mmm")</f>
        <v>Mar</v>
      </c>
      <c r="G508" s="7">
        <v>1421</v>
      </c>
      <c r="H508">
        <v>284</v>
      </c>
    </row>
    <row r="509" spans="1:8" x14ac:dyDescent="0.25">
      <c r="A509" t="s">
        <v>24</v>
      </c>
      <c r="B509" t="s">
        <v>26</v>
      </c>
      <c r="C509" t="s">
        <v>32</v>
      </c>
      <c r="D509" s="2">
        <v>44732</v>
      </c>
      <c r="E509" s="1" t="str">
        <f>TEXT(Table1[[#This Row],[Date]],"ddd")</f>
        <v>Mon</v>
      </c>
      <c r="F509" s="1" t="str">
        <f>TEXT(Table1[[#This Row],[Date]],"mmm")</f>
        <v>Jun</v>
      </c>
      <c r="G509" s="7">
        <v>8526</v>
      </c>
      <c r="H509">
        <v>73</v>
      </c>
    </row>
    <row r="510" spans="1:8" x14ac:dyDescent="0.25">
      <c r="A510" t="s">
        <v>28</v>
      </c>
      <c r="B510" t="s">
        <v>29</v>
      </c>
      <c r="C510" t="s">
        <v>45</v>
      </c>
      <c r="D510" s="2">
        <v>44627</v>
      </c>
      <c r="E510" s="1" t="str">
        <f>TEXT(Table1[[#This Row],[Date]],"ddd")</f>
        <v>Mon</v>
      </c>
      <c r="F510" s="1" t="str">
        <f>TEXT(Table1[[#This Row],[Date]],"mmm")</f>
        <v>Mar</v>
      </c>
      <c r="G510" s="7">
        <v>1435</v>
      </c>
      <c r="H510">
        <v>112</v>
      </c>
    </row>
    <row r="511" spans="1:8" x14ac:dyDescent="0.25">
      <c r="A511" t="s">
        <v>41</v>
      </c>
      <c r="B511" t="s">
        <v>15</v>
      </c>
      <c r="C511" t="s">
        <v>42</v>
      </c>
      <c r="D511" s="2">
        <v>44732</v>
      </c>
      <c r="E511" s="1" t="str">
        <f>TEXT(Table1[[#This Row],[Date]],"ddd")</f>
        <v>Mon</v>
      </c>
      <c r="F511" s="1" t="str">
        <f>TEXT(Table1[[#This Row],[Date]],"mmm")</f>
        <v>Jun</v>
      </c>
      <c r="G511" s="7">
        <v>7434</v>
      </c>
      <c r="H511">
        <v>85</v>
      </c>
    </row>
    <row r="512" spans="1:8" x14ac:dyDescent="0.25">
      <c r="A512" t="s">
        <v>17</v>
      </c>
      <c r="B512" t="s">
        <v>21</v>
      </c>
      <c r="C512" t="s">
        <v>35</v>
      </c>
      <c r="D512" s="2">
        <v>44609</v>
      </c>
      <c r="E512" s="1" t="str">
        <f>TEXT(Table1[[#This Row],[Date]],"ddd")</f>
        <v>Thu</v>
      </c>
      <c r="F512" s="1" t="str">
        <f>TEXT(Table1[[#This Row],[Date]],"mmm")</f>
        <v>Feb</v>
      </c>
      <c r="G512" s="7">
        <v>15316</v>
      </c>
      <c r="H512">
        <v>270</v>
      </c>
    </row>
    <row r="513" spans="1:8" x14ac:dyDescent="0.25">
      <c r="A513" t="s">
        <v>53</v>
      </c>
      <c r="B513" t="s">
        <v>7</v>
      </c>
      <c r="C513" t="s">
        <v>18</v>
      </c>
      <c r="D513" s="2">
        <v>44587</v>
      </c>
      <c r="E513" s="1" t="str">
        <f>TEXT(Table1[[#This Row],[Date]],"ddd")</f>
        <v>Wed</v>
      </c>
      <c r="F513" s="1" t="str">
        <f>TEXT(Table1[[#This Row],[Date]],"mmm")</f>
        <v>Jan</v>
      </c>
      <c r="G513" s="7">
        <v>10479</v>
      </c>
      <c r="H513">
        <v>45</v>
      </c>
    </row>
    <row r="514" spans="1:8" x14ac:dyDescent="0.25">
      <c r="A514" t="s">
        <v>53</v>
      </c>
      <c r="B514" t="s">
        <v>15</v>
      </c>
      <c r="C514" t="s">
        <v>8</v>
      </c>
      <c r="D514" s="2">
        <v>44683</v>
      </c>
      <c r="E514" s="1" t="str">
        <f>TEXT(Table1[[#This Row],[Date]],"ddd")</f>
        <v>Mon</v>
      </c>
      <c r="F514" s="1" t="str">
        <f>TEXT(Table1[[#This Row],[Date]],"mmm")</f>
        <v>May</v>
      </c>
      <c r="G514" s="7">
        <v>2751</v>
      </c>
      <c r="H514">
        <v>153</v>
      </c>
    </row>
    <row r="515" spans="1:8" x14ac:dyDescent="0.25">
      <c r="A515" t="s">
        <v>38</v>
      </c>
      <c r="B515" t="s">
        <v>29</v>
      </c>
      <c r="C515" t="s">
        <v>18</v>
      </c>
      <c r="D515" s="2">
        <v>44749</v>
      </c>
      <c r="E515" s="1" t="str">
        <f>TEXT(Table1[[#This Row],[Date]],"ddd")</f>
        <v>Thu</v>
      </c>
      <c r="F515" s="1" t="str">
        <f>TEXT(Table1[[#This Row],[Date]],"mmm")</f>
        <v>Jul</v>
      </c>
      <c r="G515" s="7">
        <v>12586</v>
      </c>
      <c r="H515">
        <v>7</v>
      </c>
    </row>
    <row r="516" spans="1:8" x14ac:dyDescent="0.25">
      <c r="A516" t="s">
        <v>24</v>
      </c>
      <c r="B516" t="s">
        <v>15</v>
      </c>
      <c r="C516" t="s">
        <v>56</v>
      </c>
      <c r="D516" s="2">
        <v>44795</v>
      </c>
      <c r="E516" s="1" t="str">
        <f>TEXT(Table1[[#This Row],[Date]],"ddd")</f>
        <v>Mon</v>
      </c>
      <c r="F516" s="1" t="str">
        <f>TEXT(Table1[[#This Row],[Date]],"mmm")</f>
        <v>Aug</v>
      </c>
      <c r="G516" s="7">
        <v>2786</v>
      </c>
      <c r="H516">
        <v>51</v>
      </c>
    </row>
    <row r="517" spans="1:8" x14ac:dyDescent="0.25">
      <c r="A517" t="s">
        <v>31</v>
      </c>
      <c r="B517" t="s">
        <v>15</v>
      </c>
      <c r="C517" t="s">
        <v>20</v>
      </c>
      <c r="D517" s="2">
        <v>44784</v>
      </c>
      <c r="E517" s="1" t="str">
        <f>TEXT(Table1[[#This Row],[Date]],"ddd")</f>
        <v>Thu</v>
      </c>
      <c r="F517" s="1" t="str">
        <f>TEXT(Table1[[#This Row],[Date]],"mmm")</f>
        <v>Aug</v>
      </c>
      <c r="G517" s="7">
        <v>2303</v>
      </c>
      <c r="H517">
        <v>67</v>
      </c>
    </row>
    <row r="518" spans="1:8" x14ac:dyDescent="0.25">
      <c r="A518" t="s">
        <v>33</v>
      </c>
      <c r="B518" t="s">
        <v>7</v>
      </c>
      <c r="C518" t="s">
        <v>18</v>
      </c>
      <c r="D518" s="2">
        <v>44574</v>
      </c>
      <c r="E518" s="1" t="str">
        <f>TEXT(Table1[[#This Row],[Date]],"ddd")</f>
        <v>Thu</v>
      </c>
      <c r="F518" s="1" t="str">
        <f>TEXT(Table1[[#This Row],[Date]],"mmm")</f>
        <v>Jan</v>
      </c>
      <c r="G518" s="7">
        <v>8113</v>
      </c>
      <c r="H518">
        <v>194</v>
      </c>
    </row>
    <row r="519" spans="1:8" x14ac:dyDescent="0.25">
      <c r="A519" t="s">
        <v>19</v>
      </c>
      <c r="B519" t="s">
        <v>15</v>
      </c>
      <c r="C519" t="s">
        <v>22</v>
      </c>
      <c r="D519" s="2">
        <v>44622</v>
      </c>
      <c r="E519" s="1" t="str">
        <f>TEXT(Table1[[#This Row],[Date]],"ddd")</f>
        <v>Wed</v>
      </c>
      <c r="F519" s="1" t="str">
        <f>TEXT(Table1[[#This Row],[Date]],"mmm")</f>
        <v>Mar</v>
      </c>
      <c r="G519" s="7">
        <v>12271</v>
      </c>
      <c r="H519">
        <v>116</v>
      </c>
    </row>
    <row r="520" spans="1:8" x14ac:dyDescent="0.25">
      <c r="A520" t="s">
        <v>33</v>
      </c>
      <c r="B520" t="s">
        <v>15</v>
      </c>
      <c r="C520" t="s">
        <v>52</v>
      </c>
      <c r="D520" s="2">
        <v>44769</v>
      </c>
      <c r="E520" s="1" t="str">
        <f>TEXT(Table1[[#This Row],[Date]],"ddd")</f>
        <v>Wed</v>
      </c>
      <c r="F520" s="1" t="str">
        <f>TEXT(Table1[[#This Row],[Date]],"mmm")</f>
        <v>Jul</v>
      </c>
      <c r="G520" s="7">
        <v>11298</v>
      </c>
      <c r="H520">
        <v>41</v>
      </c>
    </row>
    <row r="521" spans="1:8" x14ac:dyDescent="0.25">
      <c r="A521" t="s">
        <v>49</v>
      </c>
      <c r="B521" t="s">
        <v>21</v>
      </c>
      <c r="C521" t="s">
        <v>32</v>
      </c>
      <c r="D521" s="2">
        <v>44630</v>
      </c>
      <c r="E521" s="1" t="str">
        <f>TEXT(Table1[[#This Row],[Date]],"ddd")</f>
        <v>Thu</v>
      </c>
      <c r="F521" s="1" t="str">
        <f>TEXT(Table1[[#This Row],[Date]],"mmm")</f>
        <v>Mar</v>
      </c>
      <c r="G521" s="7">
        <v>15855</v>
      </c>
      <c r="H521">
        <v>111</v>
      </c>
    </row>
    <row r="522" spans="1:8" x14ac:dyDescent="0.25">
      <c r="A522" t="s">
        <v>34</v>
      </c>
      <c r="B522" t="s">
        <v>26</v>
      </c>
      <c r="C522" t="s">
        <v>11</v>
      </c>
      <c r="D522" s="2">
        <v>44796</v>
      </c>
      <c r="E522" s="1" t="str">
        <f>TEXT(Table1[[#This Row],[Date]],"ddd")</f>
        <v>Tue</v>
      </c>
      <c r="F522" s="1" t="str">
        <f>TEXT(Table1[[#This Row],[Date]],"mmm")</f>
        <v>Aug</v>
      </c>
      <c r="G522" s="7">
        <v>12404</v>
      </c>
      <c r="H522">
        <v>334</v>
      </c>
    </row>
    <row r="523" spans="1:8" x14ac:dyDescent="0.25">
      <c r="A523" t="s">
        <v>36</v>
      </c>
      <c r="B523" t="s">
        <v>26</v>
      </c>
      <c r="C523" t="s">
        <v>30</v>
      </c>
      <c r="D523" s="2">
        <v>44676</v>
      </c>
      <c r="E523" s="1" t="str">
        <f>TEXT(Table1[[#This Row],[Date]],"ddd")</f>
        <v>Mon</v>
      </c>
      <c r="F523" s="1" t="str">
        <f>TEXT(Table1[[#This Row],[Date]],"mmm")</f>
        <v>Apr</v>
      </c>
      <c r="G523" s="7">
        <v>3990</v>
      </c>
      <c r="H523">
        <v>155</v>
      </c>
    </row>
    <row r="524" spans="1:8" x14ac:dyDescent="0.25">
      <c r="A524" t="s">
        <v>43</v>
      </c>
      <c r="B524" t="s">
        <v>7</v>
      </c>
      <c r="C524" t="s">
        <v>37</v>
      </c>
      <c r="D524" s="2">
        <v>44627</v>
      </c>
      <c r="E524" s="1" t="str">
        <f>TEXT(Table1[[#This Row],[Date]],"ddd")</f>
        <v>Mon</v>
      </c>
      <c r="F524" s="1" t="str">
        <f>TEXT(Table1[[#This Row],[Date]],"mmm")</f>
        <v>Mar</v>
      </c>
      <c r="G524" s="7">
        <v>10808</v>
      </c>
      <c r="H524">
        <v>407</v>
      </c>
    </row>
    <row r="525" spans="1:8" x14ac:dyDescent="0.25">
      <c r="A525" t="s">
        <v>46</v>
      </c>
      <c r="B525" t="s">
        <v>7</v>
      </c>
      <c r="C525" t="s">
        <v>35</v>
      </c>
      <c r="D525" s="2">
        <v>44754</v>
      </c>
      <c r="E525" s="1" t="str">
        <f>TEXT(Table1[[#This Row],[Date]],"ddd")</f>
        <v>Tue</v>
      </c>
      <c r="F525" s="1" t="str">
        <f>TEXT(Table1[[#This Row],[Date]],"mmm")</f>
        <v>Jul</v>
      </c>
      <c r="G525" s="7">
        <v>4858</v>
      </c>
      <c r="H525">
        <v>52</v>
      </c>
    </row>
    <row r="526" spans="1:8" x14ac:dyDescent="0.25">
      <c r="A526" t="s">
        <v>53</v>
      </c>
      <c r="B526" t="s">
        <v>26</v>
      </c>
      <c r="C526" t="s">
        <v>27</v>
      </c>
      <c r="D526" s="2">
        <v>44697</v>
      </c>
      <c r="E526" s="1" t="str">
        <f>TEXT(Table1[[#This Row],[Date]],"ddd")</f>
        <v>Mon</v>
      </c>
      <c r="F526" s="1" t="str">
        <f>TEXT(Table1[[#This Row],[Date]],"mmm")</f>
        <v>May</v>
      </c>
      <c r="G526" s="7">
        <v>7742</v>
      </c>
      <c r="H526">
        <v>138</v>
      </c>
    </row>
    <row r="527" spans="1:8" x14ac:dyDescent="0.25">
      <c r="A527" t="s">
        <v>19</v>
      </c>
      <c r="B527" t="s">
        <v>10</v>
      </c>
      <c r="C527" t="s">
        <v>16</v>
      </c>
      <c r="D527" s="2">
        <v>44622</v>
      </c>
      <c r="E527" s="1" t="str">
        <f>TEXT(Table1[[#This Row],[Date]],"ddd")</f>
        <v>Wed</v>
      </c>
      <c r="F527" s="1" t="str">
        <f>TEXT(Table1[[#This Row],[Date]],"mmm")</f>
        <v>Mar</v>
      </c>
      <c r="G527" s="7">
        <v>3752</v>
      </c>
      <c r="H527">
        <v>70</v>
      </c>
    </row>
    <row r="528" spans="1:8" x14ac:dyDescent="0.25">
      <c r="A528" t="s">
        <v>33</v>
      </c>
      <c r="B528" t="s">
        <v>21</v>
      </c>
      <c r="C528" t="s">
        <v>11</v>
      </c>
      <c r="D528" s="2">
        <v>44711</v>
      </c>
      <c r="E528" s="1" t="str">
        <f>TEXT(Table1[[#This Row],[Date]],"ddd")</f>
        <v>Mon</v>
      </c>
      <c r="F528" s="1" t="str">
        <f>TEXT(Table1[[#This Row],[Date]],"mmm")</f>
        <v>May</v>
      </c>
      <c r="G528" s="7">
        <v>1218</v>
      </c>
      <c r="H528">
        <v>149</v>
      </c>
    </row>
    <row r="529" spans="1:8" x14ac:dyDescent="0.25">
      <c r="A529" t="s">
        <v>33</v>
      </c>
      <c r="B529" t="s">
        <v>7</v>
      </c>
      <c r="C529" t="s">
        <v>45</v>
      </c>
      <c r="D529" s="2">
        <v>44722</v>
      </c>
      <c r="E529" s="1" t="str">
        <f>TEXT(Table1[[#This Row],[Date]],"ddd")</f>
        <v>Fri</v>
      </c>
      <c r="F529" s="1" t="str">
        <f>TEXT(Table1[[#This Row],[Date]],"mmm")</f>
        <v>Jun</v>
      </c>
      <c r="G529" s="7">
        <v>10983</v>
      </c>
      <c r="H529">
        <v>179</v>
      </c>
    </row>
    <row r="530" spans="1:8" x14ac:dyDescent="0.25">
      <c r="A530" t="s">
        <v>23</v>
      </c>
      <c r="B530" t="s">
        <v>26</v>
      </c>
      <c r="C530" t="s">
        <v>18</v>
      </c>
      <c r="D530" s="2">
        <v>44767</v>
      </c>
      <c r="E530" s="1" t="str">
        <f>TEXT(Table1[[#This Row],[Date]],"ddd")</f>
        <v>Mon</v>
      </c>
      <c r="F530" s="1" t="str">
        <f>TEXT(Table1[[#This Row],[Date]],"mmm")</f>
        <v>Jul</v>
      </c>
      <c r="G530" s="7">
        <v>6769</v>
      </c>
      <c r="H530">
        <v>353</v>
      </c>
    </row>
    <row r="531" spans="1:8" x14ac:dyDescent="0.25">
      <c r="A531" t="s">
        <v>34</v>
      </c>
      <c r="B531" t="s">
        <v>21</v>
      </c>
      <c r="C531" t="s">
        <v>8</v>
      </c>
      <c r="D531" s="2">
        <v>44721</v>
      </c>
      <c r="E531" s="1" t="str">
        <f>TEXT(Table1[[#This Row],[Date]],"ddd")</f>
        <v>Thu</v>
      </c>
      <c r="F531" s="1" t="str">
        <f>TEXT(Table1[[#This Row],[Date]],"mmm")</f>
        <v>Jun</v>
      </c>
      <c r="G531" s="7">
        <v>4361</v>
      </c>
      <c r="H531">
        <v>97</v>
      </c>
    </row>
    <row r="532" spans="1:8" x14ac:dyDescent="0.25">
      <c r="A532" t="s">
        <v>43</v>
      </c>
      <c r="B532" t="s">
        <v>26</v>
      </c>
      <c r="C532" t="s">
        <v>37</v>
      </c>
      <c r="D532" s="2">
        <v>44693</v>
      </c>
      <c r="E532" s="1" t="str">
        <f>TEXT(Table1[[#This Row],[Date]],"ddd")</f>
        <v>Thu</v>
      </c>
      <c r="F532" s="1" t="str">
        <f>TEXT(Table1[[#This Row],[Date]],"mmm")</f>
        <v>May</v>
      </c>
      <c r="G532" s="7">
        <v>777</v>
      </c>
      <c r="H532">
        <v>60</v>
      </c>
    </row>
    <row r="533" spans="1:8" x14ac:dyDescent="0.25">
      <c r="A533" t="s">
        <v>19</v>
      </c>
      <c r="B533" t="s">
        <v>26</v>
      </c>
      <c r="C533" t="s">
        <v>32</v>
      </c>
      <c r="D533" s="2">
        <v>44690</v>
      </c>
      <c r="E533" s="1" t="str">
        <f>TEXT(Table1[[#This Row],[Date]],"ddd")</f>
        <v>Mon</v>
      </c>
      <c r="F533" s="1" t="str">
        <f>TEXT(Table1[[#This Row],[Date]],"mmm")</f>
        <v>May</v>
      </c>
      <c r="G533" s="7">
        <v>3843</v>
      </c>
      <c r="H533">
        <v>5</v>
      </c>
    </row>
    <row r="534" spans="1:8" x14ac:dyDescent="0.25">
      <c r="A534" t="s">
        <v>23</v>
      </c>
      <c r="B534" t="s">
        <v>29</v>
      </c>
      <c r="C534" t="s">
        <v>45</v>
      </c>
      <c r="D534" s="2">
        <v>44782</v>
      </c>
      <c r="E534" s="1" t="str">
        <f>TEXT(Table1[[#This Row],[Date]],"ddd")</f>
        <v>Tue</v>
      </c>
      <c r="F534" s="1" t="str">
        <f>TEXT(Table1[[#This Row],[Date]],"mmm")</f>
        <v>Aug</v>
      </c>
      <c r="G534" s="7">
        <v>6930</v>
      </c>
      <c r="H534">
        <v>182</v>
      </c>
    </row>
    <row r="535" spans="1:8" x14ac:dyDescent="0.25">
      <c r="A535" t="s">
        <v>9</v>
      </c>
      <c r="B535" t="s">
        <v>10</v>
      </c>
      <c r="C535" t="s">
        <v>52</v>
      </c>
      <c r="D535" s="2">
        <v>44664</v>
      </c>
      <c r="E535" s="1" t="str">
        <f>TEXT(Table1[[#This Row],[Date]],"ddd")</f>
        <v>Wed</v>
      </c>
      <c r="F535" s="1" t="str">
        <f>TEXT(Table1[[#This Row],[Date]],"mmm")</f>
        <v>Apr</v>
      </c>
      <c r="G535" s="7">
        <v>5733</v>
      </c>
      <c r="H535">
        <v>114</v>
      </c>
    </row>
    <row r="536" spans="1:8" x14ac:dyDescent="0.25">
      <c r="A536" t="s">
        <v>48</v>
      </c>
      <c r="B536" t="s">
        <v>26</v>
      </c>
      <c r="C536" t="s">
        <v>57</v>
      </c>
      <c r="D536" s="2">
        <v>44683</v>
      </c>
      <c r="E536" s="1" t="str">
        <f>TEXT(Table1[[#This Row],[Date]],"ddd")</f>
        <v>Mon</v>
      </c>
      <c r="F536" s="1" t="str">
        <f>TEXT(Table1[[#This Row],[Date]],"mmm")</f>
        <v>May</v>
      </c>
      <c r="G536" s="7">
        <v>8393</v>
      </c>
      <c r="H536">
        <v>46</v>
      </c>
    </row>
    <row r="537" spans="1:8" x14ac:dyDescent="0.25">
      <c r="A537" t="s">
        <v>54</v>
      </c>
      <c r="B537" t="s">
        <v>26</v>
      </c>
      <c r="C537" t="s">
        <v>18</v>
      </c>
      <c r="D537" s="2">
        <v>44782</v>
      </c>
      <c r="E537" s="1" t="str">
        <f>TEXT(Table1[[#This Row],[Date]],"ddd")</f>
        <v>Tue</v>
      </c>
      <c r="F537" s="1" t="str">
        <f>TEXT(Table1[[#This Row],[Date]],"mmm")</f>
        <v>Aug</v>
      </c>
      <c r="G537" s="7">
        <v>3822</v>
      </c>
      <c r="H537">
        <v>320</v>
      </c>
    </row>
    <row r="538" spans="1:8" x14ac:dyDescent="0.25">
      <c r="A538" t="s">
        <v>50</v>
      </c>
      <c r="B538" t="s">
        <v>15</v>
      </c>
      <c r="C538" t="s">
        <v>51</v>
      </c>
      <c r="D538" s="2">
        <v>44796</v>
      </c>
      <c r="E538" s="1" t="str">
        <f>TEXT(Table1[[#This Row],[Date]],"ddd")</f>
        <v>Tue</v>
      </c>
      <c r="F538" s="1" t="str">
        <f>TEXT(Table1[[#This Row],[Date]],"mmm")</f>
        <v>Aug</v>
      </c>
      <c r="G538" s="7">
        <v>6342</v>
      </c>
      <c r="H538">
        <v>178</v>
      </c>
    </row>
    <row r="539" spans="1:8" x14ac:dyDescent="0.25">
      <c r="A539" t="s">
        <v>19</v>
      </c>
      <c r="B539" t="s">
        <v>10</v>
      </c>
      <c r="C539" t="s">
        <v>39</v>
      </c>
      <c r="D539" s="2">
        <v>44694</v>
      </c>
      <c r="E539" s="1" t="str">
        <f>TEXT(Table1[[#This Row],[Date]],"ddd")</f>
        <v>Fri</v>
      </c>
      <c r="F539" s="1" t="str">
        <f>TEXT(Table1[[#This Row],[Date]],"mmm")</f>
        <v>May</v>
      </c>
      <c r="G539" s="7">
        <v>6510</v>
      </c>
      <c r="H539">
        <v>170</v>
      </c>
    </row>
    <row r="540" spans="1:8" x14ac:dyDescent="0.25">
      <c r="A540" t="s">
        <v>31</v>
      </c>
      <c r="B540" t="s">
        <v>26</v>
      </c>
      <c r="C540" t="s">
        <v>45</v>
      </c>
      <c r="D540" s="2">
        <v>44593</v>
      </c>
      <c r="E540" s="1" t="str">
        <f>TEXT(Table1[[#This Row],[Date]],"ddd")</f>
        <v>Tue</v>
      </c>
      <c r="F540" s="1" t="str">
        <f>TEXT(Table1[[#This Row],[Date]],"mmm")</f>
        <v>Feb</v>
      </c>
      <c r="G540" s="7">
        <v>10171</v>
      </c>
      <c r="H540">
        <v>67</v>
      </c>
    </row>
    <row r="541" spans="1:8" x14ac:dyDescent="0.25">
      <c r="A541" t="s">
        <v>50</v>
      </c>
      <c r="B541" t="s">
        <v>26</v>
      </c>
      <c r="C541" t="s">
        <v>22</v>
      </c>
      <c r="D541" s="2">
        <v>44735</v>
      </c>
      <c r="E541" s="1" t="str">
        <f>TEXT(Table1[[#This Row],[Date]],"ddd")</f>
        <v>Thu</v>
      </c>
      <c r="F541" s="1" t="str">
        <f>TEXT(Table1[[#This Row],[Date]],"mmm")</f>
        <v>Jun</v>
      </c>
      <c r="G541" s="7">
        <v>5908</v>
      </c>
      <c r="H541">
        <v>301</v>
      </c>
    </row>
    <row r="542" spans="1:8" x14ac:dyDescent="0.25">
      <c r="A542" t="s">
        <v>53</v>
      </c>
      <c r="B542" t="s">
        <v>7</v>
      </c>
      <c r="C542" t="s">
        <v>52</v>
      </c>
      <c r="D542" s="2">
        <v>44705</v>
      </c>
      <c r="E542" s="1" t="str">
        <f>TEXT(Table1[[#This Row],[Date]],"ddd")</f>
        <v>Tue</v>
      </c>
      <c r="F542" s="1" t="str">
        <f>TEXT(Table1[[#This Row],[Date]],"mmm")</f>
        <v>May</v>
      </c>
      <c r="G542" s="7">
        <v>10164</v>
      </c>
      <c r="H542">
        <v>134</v>
      </c>
    </row>
    <row r="543" spans="1:8" x14ac:dyDescent="0.25">
      <c r="A543" t="s">
        <v>14</v>
      </c>
      <c r="B543" t="s">
        <v>29</v>
      </c>
      <c r="C543" t="s">
        <v>8</v>
      </c>
      <c r="D543" s="2">
        <v>44652</v>
      </c>
      <c r="E543" s="1" t="str">
        <f>TEXT(Table1[[#This Row],[Date]],"ddd")</f>
        <v>Fri</v>
      </c>
      <c r="F543" s="1" t="str">
        <f>TEXT(Table1[[#This Row],[Date]],"mmm")</f>
        <v>Apr</v>
      </c>
      <c r="G543" s="7">
        <v>1064</v>
      </c>
      <c r="H543">
        <v>211</v>
      </c>
    </row>
    <row r="544" spans="1:8" x14ac:dyDescent="0.25">
      <c r="A544" t="s">
        <v>50</v>
      </c>
      <c r="B544" t="s">
        <v>29</v>
      </c>
      <c r="C544" t="s">
        <v>58</v>
      </c>
      <c r="D544" s="2">
        <v>44769</v>
      </c>
      <c r="E544" s="1" t="str">
        <f>TEXT(Table1[[#This Row],[Date]],"ddd")</f>
        <v>Wed</v>
      </c>
      <c r="F544" s="1" t="str">
        <f>TEXT(Table1[[#This Row],[Date]],"mmm")</f>
        <v>Jul</v>
      </c>
      <c r="G544" s="7">
        <v>9716</v>
      </c>
      <c r="H544">
        <v>151</v>
      </c>
    </row>
    <row r="545" spans="1:8" x14ac:dyDescent="0.25">
      <c r="A545" t="s">
        <v>55</v>
      </c>
      <c r="B545" t="s">
        <v>10</v>
      </c>
      <c r="C545" t="s">
        <v>13</v>
      </c>
      <c r="D545" s="2">
        <v>44588</v>
      </c>
      <c r="E545" s="1" t="str">
        <f>TEXT(Table1[[#This Row],[Date]],"ddd")</f>
        <v>Thu</v>
      </c>
      <c r="F545" s="1" t="str">
        <f>TEXT(Table1[[#This Row],[Date]],"mmm")</f>
        <v>Jan</v>
      </c>
      <c r="G545" s="7">
        <v>22050</v>
      </c>
      <c r="H545">
        <v>208</v>
      </c>
    </row>
    <row r="546" spans="1:8" x14ac:dyDescent="0.25">
      <c r="A546" t="s">
        <v>14</v>
      </c>
      <c r="B546" t="s">
        <v>10</v>
      </c>
      <c r="C546" t="s">
        <v>52</v>
      </c>
      <c r="D546" s="2">
        <v>44785</v>
      </c>
      <c r="E546" s="1" t="str">
        <f>TEXT(Table1[[#This Row],[Date]],"ddd")</f>
        <v>Fri</v>
      </c>
      <c r="F546" s="1" t="str">
        <f>TEXT(Table1[[#This Row],[Date]],"mmm")</f>
        <v>Aug</v>
      </c>
      <c r="G546" s="7">
        <v>2541</v>
      </c>
      <c r="H546">
        <v>134</v>
      </c>
    </row>
    <row r="547" spans="1:8" x14ac:dyDescent="0.25">
      <c r="A547" t="s">
        <v>12</v>
      </c>
      <c r="B547" t="s">
        <v>29</v>
      </c>
      <c r="C547" t="s">
        <v>47</v>
      </c>
      <c r="D547" s="2">
        <v>44593</v>
      </c>
      <c r="E547" s="1" t="str">
        <f>TEXT(Table1[[#This Row],[Date]],"ddd")</f>
        <v>Tue</v>
      </c>
      <c r="F547" s="1" t="str">
        <f>TEXT(Table1[[#This Row],[Date]],"mmm")</f>
        <v>Feb</v>
      </c>
      <c r="G547" s="7">
        <v>9989</v>
      </c>
      <c r="H547">
        <v>49</v>
      </c>
    </row>
    <row r="548" spans="1:8" x14ac:dyDescent="0.25">
      <c r="A548" t="s">
        <v>24</v>
      </c>
      <c r="B548" t="s">
        <v>10</v>
      </c>
      <c r="C548" t="s">
        <v>20</v>
      </c>
      <c r="D548" s="2">
        <v>44622</v>
      </c>
      <c r="E548" s="1" t="str">
        <f>TEXT(Table1[[#This Row],[Date]],"ddd")</f>
        <v>Wed</v>
      </c>
      <c r="F548" s="1" t="str">
        <f>TEXT(Table1[[#This Row],[Date]],"mmm")</f>
        <v>Mar</v>
      </c>
      <c r="G548" s="7">
        <v>4739</v>
      </c>
      <c r="H548">
        <v>204</v>
      </c>
    </row>
    <row r="549" spans="1:8" x14ac:dyDescent="0.25">
      <c r="A549" t="s">
        <v>49</v>
      </c>
      <c r="B549" t="s">
        <v>15</v>
      </c>
      <c r="C549" t="s">
        <v>18</v>
      </c>
      <c r="D549" s="2">
        <v>44742</v>
      </c>
      <c r="E549" s="1" t="str">
        <f>TEXT(Table1[[#This Row],[Date]],"ddd")</f>
        <v>Thu</v>
      </c>
      <c r="F549" s="1" t="str">
        <f>TEXT(Table1[[#This Row],[Date]],"mmm")</f>
        <v>Jun</v>
      </c>
      <c r="G549" s="7">
        <v>3185</v>
      </c>
      <c r="H549">
        <v>34</v>
      </c>
    </row>
    <row r="550" spans="1:8" x14ac:dyDescent="0.25">
      <c r="A550" t="s">
        <v>54</v>
      </c>
      <c r="B550" t="s">
        <v>15</v>
      </c>
      <c r="C550" t="s">
        <v>39</v>
      </c>
      <c r="D550" s="2">
        <v>44578</v>
      </c>
      <c r="E550" s="1" t="str">
        <f>TEXT(Table1[[#This Row],[Date]],"ddd")</f>
        <v>Mon</v>
      </c>
      <c r="F550" s="1" t="str">
        <f>TEXT(Table1[[#This Row],[Date]],"mmm")</f>
        <v>Jan</v>
      </c>
      <c r="G550" s="7">
        <v>8225</v>
      </c>
      <c r="H550">
        <v>91</v>
      </c>
    </row>
    <row r="551" spans="1:8" x14ac:dyDescent="0.25">
      <c r="A551" t="s">
        <v>23</v>
      </c>
      <c r="B551" t="s">
        <v>26</v>
      </c>
      <c r="C551" t="s">
        <v>37</v>
      </c>
      <c r="D551" s="2">
        <v>44749</v>
      </c>
      <c r="E551" s="1" t="str">
        <f>TEXT(Table1[[#This Row],[Date]],"ddd")</f>
        <v>Thu</v>
      </c>
      <c r="F551" s="1" t="str">
        <f>TEXT(Table1[[#This Row],[Date]],"mmm")</f>
        <v>Jul</v>
      </c>
      <c r="G551" s="7">
        <v>14301</v>
      </c>
      <c r="H551">
        <v>130</v>
      </c>
    </row>
    <row r="552" spans="1:8" x14ac:dyDescent="0.25">
      <c r="A552" t="s">
        <v>28</v>
      </c>
      <c r="B552" t="s">
        <v>21</v>
      </c>
      <c r="C552" t="s">
        <v>8</v>
      </c>
      <c r="D552" s="2">
        <v>44592</v>
      </c>
      <c r="E552" s="1" t="str">
        <f>TEXT(Table1[[#This Row],[Date]],"ddd")</f>
        <v>Mon</v>
      </c>
      <c r="F552" s="1" t="str">
        <f>TEXT(Table1[[#This Row],[Date]],"mmm")</f>
        <v>Jan</v>
      </c>
      <c r="G552" s="7">
        <v>1316</v>
      </c>
      <c r="H552">
        <v>107</v>
      </c>
    </row>
    <row r="553" spans="1:8" x14ac:dyDescent="0.25">
      <c r="A553" t="s">
        <v>34</v>
      </c>
      <c r="B553" t="s">
        <v>7</v>
      </c>
      <c r="C553" t="s">
        <v>18</v>
      </c>
      <c r="D553" s="2">
        <v>44783</v>
      </c>
      <c r="E553" s="1" t="str">
        <f>TEXT(Table1[[#This Row],[Date]],"ddd")</f>
        <v>Wed</v>
      </c>
      <c r="F553" s="1" t="str">
        <f>TEXT(Table1[[#This Row],[Date]],"mmm")</f>
        <v>Aug</v>
      </c>
      <c r="G553" s="7">
        <v>3486</v>
      </c>
      <c r="H553">
        <v>121</v>
      </c>
    </row>
    <row r="554" spans="1:8" x14ac:dyDescent="0.25">
      <c r="A554" t="s">
        <v>34</v>
      </c>
      <c r="B554" t="s">
        <v>26</v>
      </c>
      <c r="C554" t="s">
        <v>13</v>
      </c>
      <c r="D554" s="2">
        <v>44791</v>
      </c>
      <c r="E554" s="1" t="str">
        <f>TEXT(Table1[[#This Row],[Date]],"ddd")</f>
        <v>Thu</v>
      </c>
      <c r="F554" s="1" t="str">
        <f>TEXT(Table1[[#This Row],[Date]],"mmm")</f>
        <v>Aug</v>
      </c>
      <c r="G554" s="7">
        <v>13930</v>
      </c>
      <c r="H554">
        <v>339</v>
      </c>
    </row>
    <row r="555" spans="1:8" x14ac:dyDescent="0.25">
      <c r="A555" t="s">
        <v>23</v>
      </c>
      <c r="B555" t="s">
        <v>21</v>
      </c>
      <c r="C555" t="s">
        <v>44</v>
      </c>
      <c r="D555" s="2">
        <v>44727</v>
      </c>
      <c r="E555" s="1" t="str">
        <f>TEXT(Table1[[#This Row],[Date]],"ddd")</f>
        <v>Wed</v>
      </c>
      <c r="F555" s="1" t="str">
        <f>TEXT(Table1[[#This Row],[Date]],"mmm")</f>
        <v>Jun</v>
      </c>
      <c r="G555" s="7">
        <v>5509</v>
      </c>
      <c r="H555">
        <v>321</v>
      </c>
    </row>
    <row r="556" spans="1:8" x14ac:dyDescent="0.25">
      <c r="A556" t="s">
        <v>33</v>
      </c>
      <c r="B556" t="s">
        <v>26</v>
      </c>
      <c r="C556" t="s">
        <v>56</v>
      </c>
      <c r="D556" s="2">
        <v>44587</v>
      </c>
      <c r="E556" s="1" t="str">
        <f>TEXT(Table1[[#This Row],[Date]],"ddd")</f>
        <v>Wed</v>
      </c>
      <c r="F556" s="1" t="str">
        <f>TEXT(Table1[[#This Row],[Date]],"mmm")</f>
        <v>Jan</v>
      </c>
      <c r="G556" s="7">
        <v>8470</v>
      </c>
      <c r="H556">
        <v>9</v>
      </c>
    </row>
    <row r="557" spans="1:8" x14ac:dyDescent="0.25">
      <c r="A557" t="s">
        <v>49</v>
      </c>
      <c r="B557" t="s">
        <v>26</v>
      </c>
      <c r="C557" t="s">
        <v>39</v>
      </c>
      <c r="D557" s="2">
        <v>44680</v>
      </c>
      <c r="E557" s="1" t="str">
        <f>TEXT(Table1[[#This Row],[Date]],"ddd")</f>
        <v>Fri</v>
      </c>
      <c r="F557" s="1" t="str">
        <f>TEXT(Table1[[#This Row],[Date]],"mmm")</f>
        <v>Apr</v>
      </c>
      <c r="G557" s="7">
        <v>77</v>
      </c>
      <c r="H557">
        <v>69</v>
      </c>
    </row>
    <row r="558" spans="1:8" x14ac:dyDescent="0.25">
      <c r="A558" t="s">
        <v>28</v>
      </c>
      <c r="B558" t="s">
        <v>29</v>
      </c>
      <c r="C558" t="s">
        <v>44</v>
      </c>
      <c r="D558" s="2">
        <v>44623</v>
      </c>
      <c r="E558" s="1" t="str">
        <f>TEXT(Table1[[#This Row],[Date]],"ddd")</f>
        <v>Thu</v>
      </c>
      <c r="F558" s="1" t="str">
        <f>TEXT(Table1[[#This Row],[Date]],"mmm")</f>
        <v>Mar</v>
      </c>
      <c r="G558" s="7">
        <v>3381</v>
      </c>
      <c r="H558">
        <v>72</v>
      </c>
    </row>
    <row r="559" spans="1:8" x14ac:dyDescent="0.25">
      <c r="A559" t="s">
        <v>41</v>
      </c>
      <c r="B559" t="s">
        <v>15</v>
      </c>
      <c r="C559" t="s">
        <v>47</v>
      </c>
      <c r="D559" s="2">
        <v>44614</v>
      </c>
      <c r="E559" s="1" t="str">
        <f>TEXT(Table1[[#This Row],[Date]],"ddd")</f>
        <v>Tue</v>
      </c>
      <c r="F559" s="1" t="str">
        <f>TEXT(Table1[[#This Row],[Date]],"mmm")</f>
        <v>Feb</v>
      </c>
      <c r="G559" s="7">
        <v>4102</v>
      </c>
      <c r="H559">
        <v>392</v>
      </c>
    </row>
    <row r="560" spans="1:8" x14ac:dyDescent="0.25">
      <c r="A560" t="s">
        <v>17</v>
      </c>
      <c r="B560" t="s">
        <v>26</v>
      </c>
      <c r="C560" t="s">
        <v>16</v>
      </c>
      <c r="D560" s="2">
        <v>44624</v>
      </c>
      <c r="E560" s="1" t="str">
        <f>TEXT(Table1[[#This Row],[Date]],"ddd")</f>
        <v>Fri</v>
      </c>
      <c r="F560" s="1" t="str">
        <f>TEXT(Table1[[#This Row],[Date]],"mmm")</f>
        <v>Mar</v>
      </c>
      <c r="G560" s="7">
        <v>3577</v>
      </c>
      <c r="H560">
        <v>158</v>
      </c>
    </row>
    <row r="561" spans="1:8" x14ac:dyDescent="0.25">
      <c r="A561" t="s">
        <v>43</v>
      </c>
      <c r="B561" t="s">
        <v>10</v>
      </c>
      <c r="C561" t="s">
        <v>16</v>
      </c>
      <c r="D561" s="2">
        <v>44749</v>
      </c>
      <c r="E561" s="1" t="str">
        <f>TEXT(Table1[[#This Row],[Date]],"ddd")</f>
        <v>Thu</v>
      </c>
      <c r="F561" s="1" t="str">
        <f>TEXT(Table1[[#This Row],[Date]],"mmm")</f>
        <v>Jul</v>
      </c>
      <c r="G561" s="7">
        <v>2975</v>
      </c>
      <c r="H561">
        <v>9</v>
      </c>
    </row>
    <row r="562" spans="1:8" x14ac:dyDescent="0.25">
      <c r="A562" t="s">
        <v>50</v>
      </c>
      <c r="B562" t="s">
        <v>21</v>
      </c>
      <c r="C562" t="s">
        <v>57</v>
      </c>
      <c r="D562" s="2">
        <v>44729</v>
      </c>
      <c r="E562" s="1" t="str">
        <f>TEXT(Table1[[#This Row],[Date]],"ddd")</f>
        <v>Fri</v>
      </c>
      <c r="F562" s="1" t="str">
        <f>TEXT(Table1[[#This Row],[Date]],"mmm")</f>
        <v>Jun</v>
      </c>
      <c r="G562" s="7">
        <v>4137</v>
      </c>
      <c r="H562">
        <v>347</v>
      </c>
    </row>
    <row r="563" spans="1:8" x14ac:dyDescent="0.25">
      <c r="A563" t="s">
        <v>14</v>
      </c>
      <c r="B563" t="s">
        <v>29</v>
      </c>
      <c r="C563" t="s">
        <v>57</v>
      </c>
      <c r="D563" s="2">
        <v>44775</v>
      </c>
      <c r="E563" s="1" t="str">
        <f>TEXT(Table1[[#This Row],[Date]],"ddd")</f>
        <v>Tue</v>
      </c>
      <c r="F563" s="1" t="str">
        <f>TEXT(Table1[[#This Row],[Date]],"mmm")</f>
        <v>Aug</v>
      </c>
      <c r="G563" s="7">
        <v>9541</v>
      </c>
      <c r="H563">
        <v>114</v>
      </c>
    </row>
    <row r="564" spans="1:8" x14ac:dyDescent="0.25">
      <c r="A564" t="s">
        <v>17</v>
      </c>
      <c r="B564" t="s">
        <v>26</v>
      </c>
      <c r="C564" t="s">
        <v>56</v>
      </c>
      <c r="D564" s="2">
        <v>44785</v>
      </c>
      <c r="E564" s="1" t="str">
        <f>TEXT(Table1[[#This Row],[Date]],"ddd")</f>
        <v>Fri</v>
      </c>
      <c r="F564" s="1" t="str">
        <f>TEXT(Table1[[#This Row],[Date]],"mmm")</f>
        <v>Aug</v>
      </c>
      <c r="G564" s="7">
        <v>8001</v>
      </c>
      <c r="H564">
        <v>120</v>
      </c>
    </row>
    <row r="565" spans="1:8" x14ac:dyDescent="0.25">
      <c r="A565" t="s">
        <v>53</v>
      </c>
      <c r="B565" t="s">
        <v>21</v>
      </c>
      <c r="C565" t="s">
        <v>13</v>
      </c>
      <c r="D565" s="2">
        <v>44589</v>
      </c>
      <c r="E565" s="1" t="str">
        <f>TEXT(Table1[[#This Row],[Date]],"ddd")</f>
        <v>Fri</v>
      </c>
      <c r="F565" s="1" t="str">
        <f>TEXT(Table1[[#This Row],[Date]],"mmm")</f>
        <v>Jan</v>
      </c>
      <c r="G565" s="7">
        <v>5152</v>
      </c>
      <c r="H565">
        <v>333</v>
      </c>
    </row>
    <row r="566" spans="1:8" x14ac:dyDescent="0.25">
      <c r="A566" t="s">
        <v>49</v>
      </c>
      <c r="B566" t="s">
        <v>15</v>
      </c>
      <c r="C566" t="s">
        <v>27</v>
      </c>
      <c r="D566" s="2">
        <v>44680</v>
      </c>
      <c r="E566" s="1" t="str">
        <f>TEXT(Table1[[#This Row],[Date]],"ddd")</f>
        <v>Fri</v>
      </c>
      <c r="F566" s="1" t="str">
        <f>TEXT(Table1[[#This Row],[Date]],"mmm")</f>
        <v>Apr</v>
      </c>
      <c r="G566" s="7">
        <v>11116</v>
      </c>
      <c r="H566">
        <v>432</v>
      </c>
    </row>
    <row r="567" spans="1:8" x14ac:dyDescent="0.25">
      <c r="A567" t="s">
        <v>33</v>
      </c>
      <c r="B567" t="s">
        <v>15</v>
      </c>
      <c r="C567" t="s">
        <v>45</v>
      </c>
      <c r="D567" s="2">
        <v>44656</v>
      </c>
      <c r="E567" s="1" t="str">
        <f>TEXT(Table1[[#This Row],[Date]],"ddd")</f>
        <v>Tue</v>
      </c>
      <c r="F567" s="1" t="str">
        <f>TEXT(Table1[[#This Row],[Date]],"mmm")</f>
        <v>Apr</v>
      </c>
      <c r="G567" s="7">
        <v>13076</v>
      </c>
      <c r="H567">
        <v>236</v>
      </c>
    </row>
    <row r="568" spans="1:8" x14ac:dyDescent="0.25">
      <c r="A568" t="s">
        <v>41</v>
      </c>
      <c r="B568" t="s">
        <v>29</v>
      </c>
      <c r="C568" t="s">
        <v>45</v>
      </c>
      <c r="D568" s="2">
        <v>44579</v>
      </c>
      <c r="E568" s="1" t="str">
        <f>TEXT(Table1[[#This Row],[Date]],"ddd")</f>
        <v>Tue</v>
      </c>
      <c r="F568" s="1" t="str">
        <f>TEXT(Table1[[#This Row],[Date]],"mmm")</f>
        <v>Jan</v>
      </c>
      <c r="G568" s="7">
        <v>10213</v>
      </c>
      <c r="H568">
        <v>135</v>
      </c>
    </row>
    <row r="569" spans="1:8" x14ac:dyDescent="0.25">
      <c r="A569" t="s">
        <v>6</v>
      </c>
      <c r="B569" t="s">
        <v>7</v>
      </c>
      <c r="C569" t="s">
        <v>56</v>
      </c>
      <c r="D569" s="2">
        <v>44697</v>
      </c>
      <c r="E569" s="1" t="str">
        <f>TEXT(Table1[[#This Row],[Date]],"ddd")</f>
        <v>Mon</v>
      </c>
      <c r="F569" s="1" t="str">
        <f>TEXT(Table1[[#This Row],[Date]],"mmm")</f>
        <v>May</v>
      </c>
      <c r="G569" s="7">
        <v>2485</v>
      </c>
      <c r="H569">
        <v>97</v>
      </c>
    </row>
    <row r="570" spans="1:8" x14ac:dyDescent="0.25">
      <c r="A570" t="s">
        <v>49</v>
      </c>
      <c r="B570" t="s">
        <v>15</v>
      </c>
      <c r="C570" t="s">
        <v>44</v>
      </c>
      <c r="D570" s="2">
        <v>44797</v>
      </c>
      <c r="E570" s="1" t="str">
        <f>TEXT(Table1[[#This Row],[Date]],"ddd")</f>
        <v>Wed</v>
      </c>
      <c r="F570" s="1" t="str">
        <f>TEXT(Table1[[#This Row],[Date]],"mmm")</f>
        <v>Aug</v>
      </c>
      <c r="G570" s="7">
        <v>8715</v>
      </c>
      <c r="H570">
        <v>168</v>
      </c>
    </row>
    <row r="571" spans="1:8" x14ac:dyDescent="0.25">
      <c r="A571" t="s">
        <v>38</v>
      </c>
      <c r="B571" t="s">
        <v>10</v>
      </c>
      <c r="C571" t="s">
        <v>11</v>
      </c>
      <c r="D571" s="2">
        <v>44579</v>
      </c>
      <c r="E571" s="1" t="str">
        <f>TEXT(Table1[[#This Row],[Date]],"ddd")</f>
        <v>Tue</v>
      </c>
      <c r="F571" s="1" t="str">
        <f>TEXT(Table1[[#This Row],[Date]],"mmm")</f>
        <v>Jan</v>
      </c>
      <c r="G571" s="7">
        <v>273</v>
      </c>
      <c r="H571">
        <v>402</v>
      </c>
    </row>
    <row r="572" spans="1:8" x14ac:dyDescent="0.25">
      <c r="A572" t="s">
        <v>41</v>
      </c>
      <c r="B572" t="s">
        <v>26</v>
      </c>
      <c r="C572" t="s">
        <v>30</v>
      </c>
      <c r="D572" s="2">
        <v>44795</v>
      </c>
      <c r="E572" s="1" t="str">
        <f>TEXT(Table1[[#This Row],[Date]],"ddd")</f>
        <v>Mon</v>
      </c>
      <c r="F572" s="1" t="str">
        <f>TEXT(Table1[[#This Row],[Date]],"mmm")</f>
        <v>Aug</v>
      </c>
      <c r="G572" s="7">
        <v>7623</v>
      </c>
      <c r="H572">
        <v>10</v>
      </c>
    </row>
    <row r="573" spans="1:8" x14ac:dyDescent="0.25">
      <c r="A573" t="s">
        <v>19</v>
      </c>
      <c r="B573" t="s">
        <v>7</v>
      </c>
      <c r="C573" t="s">
        <v>18</v>
      </c>
      <c r="D573" s="2">
        <v>44627</v>
      </c>
      <c r="E573" s="1" t="str">
        <f>TEXT(Table1[[#This Row],[Date]],"ddd")</f>
        <v>Mon</v>
      </c>
      <c r="F573" s="1" t="str">
        <f>TEXT(Table1[[#This Row],[Date]],"mmm")</f>
        <v>Mar</v>
      </c>
      <c r="G573" s="7">
        <v>7</v>
      </c>
      <c r="H573">
        <v>84</v>
      </c>
    </row>
    <row r="574" spans="1:8" x14ac:dyDescent="0.25">
      <c r="A574" t="s">
        <v>34</v>
      </c>
      <c r="B574" t="s">
        <v>7</v>
      </c>
      <c r="C574" t="s">
        <v>52</v>
      </c>
      <c r="D574" s="2">
        <v>44624</v>
      </c>
      <c r="E574" s="1" t="str">
        <f>TEXT(Table1[[#This Row],[Date]],"ddd")</f>
        <v>Fri</v>
      </c>
      <c r="F574" s="1" t="str">
        <f>TEXT(Table1[[#This Row],[Date]],"mmm")</f>
        <v>Mar</v>
      </c>
      <c r="G574" s="7">
        <v>3010</v>
      </c>
      <c r="H574">
        <v>69</v>
      </c>
    </row>
    <row r="575" spans="1:8" x14ac:dyDescent="0.25">
      <c r="A575" t="s">
        <v>54</v>
      </c>
      <c r="B575" t="s">
        <v>29</v>
      </c>
      <c r="C575" t="s">
        <v>45</v>
      </c>
      <c r="D575" s="2">
        <v>44673</v>
      </c>
      <c r="E575" s="1" t="str">
        <f>TEXT(Table1[[#This Row],[Date]],"ddd")</f>
        <v>Fri</v>
      </c>
      <c r="F575" s="1" t="str">
        <f>TEXT(Table1[[#This Row],[Date]],"mmm")</f>
        <v>Apr</v>
      </c>
      <c r="G575" s="7">
        <v>11550</v>
      </c>
      <c r="H575">
        <v>111</v>
      </c>
    </row>
    <row r="576" spans="1:8" x14ac:dyDescent="0.25">
      <c r="A576" t="s">
        <v>41</v>
      </c>
      <c r="B576" t="s">
        <v>15</v>
      </c>
      <c r="C576" t="s">
        <v>37</v>
      </c>
      <c r="D576" s="2">
        <v>44721</v>
      </c>
      <c r="E576" s="1" t="str">
        <f>TEXT(Table1[[#This Row],[Date]],"ddd")</f>
        <v>Thu</v>
      </c>
      <c r="F576" s="1" t="str">
        <f>TEXT(Table1[[#This Row],[Date]],"mmm")</f>
        <v>Jun</v>
      </c>
      <c r="G576" s="7">
        <v>4046</v>
      </c>
      <c r="H576">
        <v>89</v>
      </c>
    </row>
    <row r="577" spans="1:8" x14ac:dyDescent="0.25">
      <c r="A577" t="s">
        <v>14</v>
      </c>
      <c r="B577" t="s">
        <v>29</v>
      </c>
      <c r="C577" t="s">
        <v>42</v>
      </c>
      <c r="D577" s="2">
        <v>44767</v>
      </c>
      <c r="E577" s="1" t="str">
        <f>TEXT(Table1[[#This Row],[Date]],"ddd")</f>
        <v>Mon</v>
      </c>
      <c r="F577" s="1" t="str">
        <f>TEXT(Table1[[#This Row],[Date]],"mmm")</f>
        <v>Jul</v>
      </c>
      <c r="G577" s="7">
        <v>8904</v>
      </c>
      <c r="H577">
        <v>199</v>
      </c>
    </row>
    <row r="578" spans="1:8" x14ac:dyDescent="0.25">
      <c r="A578" t="s">
        <v>14</v>
      </c>
      <c r="B578" t="s">
        <v>10</v>
      </c>
      <c r="C578" t="s">
        <v>16</v>
      </c>
      <c r="D578" s="2">
        <v>44776</v>
      </c>
      <c r="E578" s="1" t="str">
        <f>TEXT(Table1[[#This Row],[Date]],"ddd")</f>
        <v>Wed</v>
      </c>
      <c r="F578" s="1" t="str">
        <f>TEXT(Table1[[#This Row],[Date]],"mmm")</f>
        <v>Aug</v>
      </c>
      <c r="G578" s="7">
        <v>11298</v>
      </c>
      <c r="H578">
        <v>89</v>
      </c>
    </row>
    <row r="579" spans="1:8" x14ac:dyDescent="0.25">
      <c r="A579" t="s">
        <v>24</v>
      </c>
      <c r="B579" t="s">
        <v>15</v>
      </c>
      <c r="C579" t="s">
        <v>45</v>
      </c>
      <c r="D579" s="2">
        <v>44776</v>
      </c>
      <c r="E579" s="1" t="str">
        <f>TEXT(Table1[[#This Row],[Date]],"ddd")</f>
        <v>Wed</v>
      </c>
      <c r="F579" s="1" t="str">
        <f>TEXT(Table1[[#This Row],[Date]],"mmm")</f>
        <v>Aug</v>
      </c>
      <c r="G579" s="7">
        <v>4396</v>
      </c>
      <c r="H579">
        <v>131</v>
      </c>
    </row>
    <row r="580" spans="1:8" x14ac:dyDescent="0.25">
      <c r="A580" t="s">
        <v>6</v>
      </c>
      <c r="B580" t="s">
        <v>7</v>
      </c>
      <c r="C580" t="s">
        <v>37</v>
      </c>
      <c r="D580" s="2">
        <v>44684</v>
      </c>
      <c r="E580" s="1" t="str">
        <f>TEXT(Table1[[#This Row],[Date]],"ddd")</f>
        <v>Tue</v>
      </c>
      <c r="F580" s="1" t="str">
        <f>TEXT(Table1[[#This Row],[Date]],"mmm")</f>
        <v>May</v>
      </c>
      <c r="G580" s="7">
        <v>12068</v>
      </c>
      <c r="H580">
        <v>227</v>
      </c>
    </row>
    <row r="581" spans="1:8" x14ac:dyDescent="0.25">
      <c r="A581" t="s">
        <v>40</v>
      </c>
      <c r="B581" t="s">
        <v>29</v>
      </c>
      <c r="C581" t="s">
        <v>20</v>
      </c>
      <c r="D581" s="2">
        <v>44580</v>
      </c>
      <c r="E581" s="1" t="str">
        <f>TEXT(Table1[[#This Row],[Date]],"ddd")</f>
        <v>Wed</v>
      </c>
      <c r="F581" s="1" t="str">
        <f>TEXT(Table1[[#This Row],[Date]],"mmm")</f>
        <v>Jan</v>
      </c>
      <c r="G581" s="7">
        <v>9772</v>
      </c>
      <c r="H581">
        <v>301</v>
      </c>
    </row>
    <row r="582" spans="1:8" x14ac:dyDescent="0.25">
      <c r="A582" t="s">
        <v>36</v>
      </c>
      <c r="B582" t="s">
        <v>26</v>
      </c>
      <c r="C582" t="s">
        <v>22</v>
      </c>
      <c r="D582" s="2">
        <v>44603</v>
      </c>
      <c r="E582" s="1" t="str">
        <f>TEXT(Table1[[#This Row],[Date]],"ddd")</f>
        <v>Fri</v>
      </c>
      <c r="F582" s="1" t="str">
        <f>TEXT(Table1[[#This Row],[Date]],"mmm")</f>
        <v>Feb</v>
      </c>
      <c r="G582" s="7">
        <v>10458</v>
      </c>
      <c r="H582">
        <v>316</v>
      </c>
    </row>
    <row r="583" spans="1:8" x14ac:dyDescent="0.25">
      <c r="A583" t="s">
        <v>9</v>
      </c>
      <c r="B583" t="s">
        <v>10</v>
      </c>
      <c r="C583" t="s">
        <v>47</v>
      </c>
      <c r="D583" s="2">
        <v>44726</v>
      </c>
      <c r="E583" s="1" t="str">
        <f>TEXT(Table1[[#This Row],[Date]],"ddd")</f>
        <v>Tue</v>
      </c>
      <c r="F583" s="1" t="str">
        <f>TEXT(Table1[[#This Row],[Date]],"mmm")</f>
        <v>Jun</v>
      </c>
      <c r="G583" s="7">
        <v>6426</v>
      </c>
      <c r="H583">
        <v>390</v>
      </c>
    </row>
    <row r="584" spans="1:8" x14ac:dyDescent="0.25">
      <c r="A584" t="s">
        <v>49</v>
      </c>
      <c r="B584" t="s">
        <v>26</v>
      </c>
      <c r="C584" t="s">
        <v>22</v>
      </c>
      <c r="D584" s="2">
        <v>44643</v>
      </c>
      <c r="E584" s="1" t="str">
        <f>TEXT(Table1[[#This Row],[Date]],"ddd")</f>
        <v>Wed</v>
      </c>
      <c r="F584" s="1" t="str">
        <f>TEXT(Table1[[#This Row],[Date]],"mmm")</f>
        <v>Mar</v>
      </c>
      <c r="G584" s="7">
        <v>6188</v>
      </c>
      <c r="H584">
        <v>223</v>
      </c>
    </row>
    <row r="585" spans="1:8" x14ac:dyDescent="0.25">
      <c r="A585" t="s">
        <v>53</v>
      </c>
      <c r="B585" t="s">
        <v>29</v>
      </c>
      <c r="C585" t="s">
        <v>11</v>
      </c>
      <c r="D585" s="2">
        <v>44609</v>
      </c>
      <c r="E585" s="1" t="str">
        <f>TEXT(Table1[[#This Row],[Date]],"ddd")</f>
        <v>Thu</v>
      </c>
      <c r="F585" s="1" t="str">
        <f>TEXT(Table1[[#This Row],[Date]],"mmm")</f>
        <v>Feb</v>
      </c>
      <c r="G585" s="7">
        <v>7504</v>
      </c>
      <c r="H585">
        <v>101</v>
      </c>
    </row>
    <row r="586" spans="1:8" x14ac:dyDescent="0.25">
      <c r="A586" t="s">
        <v>43</v>
      </c>
      <c r="B586" t="s">
        <v>29</v>
      </c>
      <c r="C586" t="s">
        <v>16</v>
      </c>
      <c r="D586" s="2">
        <v>44637</v>
      </c>
      <c r="E586" s="1" t="str">
        <f>TEXT(Table1[[#This Row],[Date]],"ddd")</f>
        <v>Thu</v>
      </c>
      <c r="F586" s="1" t="str">
        <f>TEXT(Table1[[#This Row],[Date]],"mmm")</f>
        <v>Mar</v>
      </c>
      <c r="G586" s="7">
        <v>1750</v>
      </c>
      <c r="H586">
        <v>479</v>
      </c>
    </row>
    <row r="587" spans="1:8" x14ac:dyDescent="0.25">
      <c r="A587" t="s">
        <v>28</v>
      </c>
      <c r="B587" t="s">
        <v>15</v>
      </c>
      <c r="C587" t="s">
        <v>39</v>
      </c>
      <c r="D587" s="2">
        <v>44741</v>
      </c>
      <c r="E587" s="1" t="str">
        <f>TEXT(Table1[[#This Row],[Date]],"ddd")</f>
        <v>Wed</v>
      </c>
      <c r="F587" s="1" t="str">
        <f>TEXT(Table1[[#This Row],[Date]],"mmm")</f>
        <v>Jun</v>
      </c>
      <c r="G587" s="7">
        <v>5439</v>
      </c>
      <c r="H587">
        <v>287</v>
      </c>
    </row>
    <row r="588" spans="1:8" x14ac:dyDescent="0.25">
      <c r="A588" t="s">
        <v>55</v>
      </c>
      <c r="B588" t="s">
        <v>29</v>
      </c>
      <c r="C588" t="s">
        <v>52</v>
      </c>
      <c r="D588" s="2">
        <v>44797</v>
      </c>
      <c r="E588" s="1" t="str">
        <f>TEXT(Table1[[#This Row],[Date]],"ddd")</f>
        <v>Wed</v>
      </c>
      <c r="F588" s="1" t="str">
        <f>TEXT(Table1[[#This Row],[Date]],"mmm")</f>
        <v>Aug</v>
      </c>
      <c r="G588" s="7">
        <v>15547</v>
      </c>
      <c r="H588">
        <v>269</v>
      </c>
    </row>
    <row r="589" spans="1:8" x14ac:dyDescent="0.25">
      <c r="A589" t="s">
        <v>12</v>
      </c>
      <c r="B589" t="s">
        <v>29</v>
      </c>
      <c r="C589" t="s">
        <v>39</v>
      </c>
      <c r="D589" s="2">
        <v>44746</v>
      </c>
      <c r="E589" s="1" t="str">
        <f>TEXT(Table1[[#This Row],[Date]],"ddd")</f>
        <v>Mon</v>
      </c>
      <c r="F589" s="1" t="str">
        <f>TEXT(Table1[[#This Row],[Date]],"mmm")</f>
        <v>Jul</v>
      </c>
      <c r="G589" s="7">
        <v>11956</v>
      </c>
      <c r="H589">
        <v>277</v>
      </c>
    </row>
    <row r="590" spans="1:8" x14ac:dyDescent="0.25">
      <c r="A590" t="s">
        <v>36</v>
      </c>
      <c r="B590" t="s">
        <v>21</v>
      </c>
      <c r="C590" t="s">
        <v>47</v>
      </c>
      <c r="D590" s="2">
        <v>44648</v>
      </c>
      <c r="E590" s="1" t="str">
        <f>TEXT(Table1[[#This Row],[Date]],"ddd")</f>
        <v>Mon</v>
      </c>
      <c r="F590" s="1" t="str">
        <f>TEXT(Table1[[#This Row],[Date]],"mmm")</f>
        <v>Mar</v>
      </c>
      <c r="G590" s="7">
        <v>2723</v>
      </c>
      <c r="H590">
        <v>67</v>
      </c>
    </row>
    <row r="591" spans="1:8" x14ac:dyDescent="0.25">
      <c r="A591" t="s">
        <v>38</v>
      </c>
      <c r="B591" t="s">
        <v>10</v>
      </c>
      <c r="C591" t="s">
        <v>16</v>
      </c>
      <c r="D591" s="2">
        <v>44670</v>
      </c>
      <c r="E591" s="1" t="str">
        <f>TEXT(Table1[[#This Row],[Date]],"ddd")</f>
        <v>Tue</v>
      </c>
      <c r="F591" s="1" t="str">
        <f>TEXT(Table1[[#This Row],[Date]],"mmm")</f>
        <v>Apr</v>
      </c>
      <c r="G591" s="7">
        <v>19327</v>
      </c>
      <c r="H591">
        <v>135</v>
      </c>
    </row>
    <row r="592" spans="1:8" x14ac:dyDescent="0.25">
      <c r="A592" t="s">
        <v>55</v>
      </c>
      <c r="B592" t="s">
        <v>21</v>
      </c>
      <c r="C592" t="s">
        <v>8</v>
      </c>
      <c r="D592" s="2">
        <v>44579</v>
      </c>
      <c r="E592" s="1" t="str">
        <f>TEXT(Table1[[#This Row],[Date]],"ddd")</f>
        <v>Tue</v>
      </c>
      <c r="F592" s="1" t="str">
        <f>TEXT(Table1[[#This Row],[Date]],"mmm")</f>
        <v>Jan</v>
      </c>
      <c r="G592" s="7">
        <v>9058</v>
      </c>
      <c r="H592">
        <v>229</v>
      </c>
    </row>
    <row r="593" spans="1:8" x14ac:dyDescent="0.25">
      <c r="A593" t="s">
        <v>9</v>
      </c>
      <c r="B593" t="s">
        <v>21</v>
      </c>
      <c r="C593" t="s">
        <v>42</v>
      </c>
      <c r="D593" s="2">
        <v>44578</v>
      </c>
      <c r="E593" s="1" t="str">
        <f>TEXT(Table1[[#This Row],[Date]],"ddd")</f>
        <v>Mon</v>
      </c>
      <c r="F593" s="1" t="str">
        <f>TEXT(Table1[[#This Row],[Date]],"mmm")</f>
        <v>Jan</v>
      </c>
      <c r="G593" s="7">
        <v>2996</v>
      </c>
      <c r="H593">
        <v>88</v>
      </c>
    </row>
    <row r="594" spans="1:8" x14ac:dyDescent="0.25">
      <c r="A594" t="s">
        <v>48</v>
      </c>
      <c r="B594" t="s">
        <v>21</v>
      </c>
      <c r="C594" t="s">
        <v>8</v>
      </c>
      <c r="D594" s="2">
        <v>44607</v>
      </c>
      <c r="E594" s="1" t="str">
        <f>TEXT(Table1[[#This Row],[Date]],"ddd")</f>
        <v>Tue</v>
      </c>
      <c r="F594" s="1" t="str">
        <f>TEXT(Table1[[#This Row],[Date]],"mmm")</f>
        <v>Feb</v>
      </c>
      <c r="G594" s="7">
        <v>8848</v>
      </c>
      <c r="H594">
        <v>211</v>
      </c>
    </row>
    <row r="595" spans="1:8" x14ac:dyDescent="0.25">
      <c r="A595" t="s">
        <v>48</v>
      </c>
      <c r="B595" t="s">
        <v>7</v>
      </c>
      <c r="C595" t="s">
        <v>37</v>
      </c>
      <c r="D595" s="2">
        <v>44603</v>
      </c>
      <c r="E595" s="1" t="str">
        <f>TEXT(Table1[[#This Row],[Date]],"ddd")</f>
        <v>Fri</v>
      </c>
      <c r="F595" s="1" t="str">
        <f>TEXT(Table1[[#This Row],[Date]],"mmm")</f>
        <v>Feb</v>
      </c>
      <c r="G595" s="7">
        <v>14336</v>
      </c>
      <c r="H595">
        <v>293</v>
      </c>
    </row>
    <row r="596" spans="1:8" x14ac:dyDescent="0.25">
      <c r="A596" t="s">
        <v>50</v>
      </c>
      <c r="B596" t="s">
        <v>26</v>
      </c>
      <c r="C596" t="s">
        <v>45</v>
      </c>
      <c r="D596" s="2">
        <v>44641</v>
      </c>
      <c r="E596" s="1" t="str">
        <f>TEXT(Table1[[#This Row],[Date]],"ddd")</f>
        <v>Mon</v>
      </c>
      <c r="F596" s="1" t="str">
        <f>TEXT(Table1[[#This Row],[Date]],"mmm")</f>
        <v>Mar</v>
      </c>
      <c r="G596" s="7">
        <v>16401</v>
      </c>
      <c r="H596">
        <v>179</v>
      </c>
    </row>
    <row r="597" spans="1:8" x14ac:dyDescent="0.25">
      <c r="A597" t="s">
        <v>19</v>
      </c>
      <c r="B597" t="s">
        <v>21</v>
      </c>
      <c r="C597" t="s">
        <v>47</v>
      </c>
      <c r="D597" s="2">
        <v>44566</v>
      </c>
      <c r="E597" s="1" t="str">
        <f>TEXT(Table1[[#This Row],[Date]],"ddd")</f>
        <v>Wed</v>
      </c>
      <c r="F597" s="1" t="str">
        <f>TEXT(Table1[[#This Row],[Date]],"mmm")</f>
        <v>Jan</v>
      </c>
      <c r="G597" s="7">
        <v>5173</v>
      </c>
      <c r="H597">
        <v>129</v>
      </c>
    </row>
    <row r="598" spans="1:8" x14ac:dyDescent="0.25">
      <c r="A598" t="s">
        <v>23</v>
      </c>
      <c r="B598" t="s">
        <v>10</v>
      </c>
      <c r="C598" t="s">
        <v>51</v>
      </c>
      <c r="D598" s="2">
        <v>44711</v>
      </c>
      <c r="E598" s="1" t="str">
        <f>TEXT(Table1[[#This Row],[Date]],"ddd")</f>
        <v>Mon</v>
      </c>
      <c r="F598" s="1" t="str">
        <f>TEXT(Table1[[#This Row],[Date]],"mmm")</f>
        <v>May</v>
      </c>
      <c r="G598" s="7">
        <v>6328</v>
      </c>
      <c r="H598">
        <v>164</v>
      </c>
    </row>
    <row r="599" spans="1:8" x14ac:dyDescent="0.25">
      <c r="A599" t="s">
        <v>6</v>
      </c>
      <c r="B599" t="s">
        <v>26</v>
      </c>
      <c r="C599" t="s">
        <v>18</v>
      </c>
      <c r="D599" s="2">
        <v>44565</v>
      </c>
      <c r="E599" s="1" t="str">
        <f>TEXT(Table1[[#This Row],[Date]],"ddd")</f>
        <v>Tue</v>
      </c>
      <c r="F599" s="1" t="str">
        <f>TEXT(Table1[[#This Row],[Date]],"mmm")</f>
        <v>Jan</v>
      </c>
      <c r="G599" s="7">
        <v>2534</v>
      </c>
      <c r="H599">
        <v>219</v>
      </c>
    </row>
    <row r="600" spans="1:8" x14ac:dyDescent="0.25">
      <c r="A600" t="s">
        <v>34</v>
      </c>
      <c r="B600" t="s">
        <v>15</v>
      </c>
      <c r="C600" t="s">
        <v>42</v>
      </c>
      <c r="D600" s="2">
        <v>44673</v>
      </c>
      <c r="E600" s="1" t="str">
        <f>TEXT(Table1[[#This Row],[Date]],"ddd")</f>
        <v>Fri</v>
      </c>
      <c r="F600" s="1" t="str">
        <f>TEXT(Table1[[#This Row],[Date]],"mmm")</f>
        <v>Apr</v>
      </c>
      <c r="G600" s="7">
        <v>1435</v>
      </c>
      <c r="H600">
        <v>258</v>
      </c>
    </row>
    <row r="601" spans="1:8" x14ac:dyDescent="0.25">
      <c r="A601" t="s">
        <v>12</v>
      </c>
      <c r="B601" t="s">
        <v>29</v>
      </c>
      <c r="C601" t="s">
        <v>37</v>
      </c>
      <c r="D601" s="2">
        <v>44602</v>
      </c>
      <c r="E601" s="1" t="str">
        <f>TEXT(Table1[[#This Row],[Date]],"ddd")</f>
        <v>Thu</v>
      </c>
      <c r="F601" s="1" t="str">
        <f>TEXT(Table1[[#This Row],[Date]],"mmm")</f>
        <v>Feb</v>
      </c>
      <c r="G601" s="7">
        <v>3052</v>
      </c>
      <c r="H601">
        <v>116</v>
      </c>
    </row>
    <row r="602" spans="1:8" x14ac:dyDescent="0.25">
      <c r="A602" t="s">
        <v>54</v>
      </c>
      <c r="B602" t="s">
        <v>10</v>
      </c>
      <c r="C602" t="s">
        <v>39</v>
      </c>
      <c r="D602" s="2">
        <v>44785</v>
      </c>
      <c r="E602" s="1" t="str">
        <f>TEXT(Table1[[#This Row],[Date]],"ddd")</f>
        <v>Fri</v>
      </c>
      <c r="F602" s="1" t="str">
        <f>TEXT(Table1[[#This Row],[Date]],"mmm")</f>
        <v>Aug</v>
      </c>
      <c r="G602" s="7">
        <v>910</v>
      </c>
      <c r="H602">
        <v>204</v>
      </c>
    </row>
    <row r="603" spans="1:8" x14ac:dyDescent="0.25">
      <c r="A603" t="s">
        <v>19</v>
      </c>
      <c r="B603" t="s">
        <v>26</v>
      </c>
      <c r="C603" t="s">
        <v>35</v>
      </c>
      <c r="D603" s="2">
        <v>44783</v>
      </c>
      <c r="E603" s="1" t="str">
        <f>TEXT(Table1[[#This Row],[Date]],"ddd")</f>
        <v>Wed</v>
      </c>
      <c r="F603" s="1" t="str">
        <f>TEXT(Table1[[#This Row],[Date]],"mmm")</f>
        <v>Aug</v>
      </c>
      <c r="G603" s="7">
        <v>2331</v>
      </c>
      <c r="H603">
        <v>321</v>
      </c>
    </row>
    <row r="604" spans="1:8" x14ac:dyDescent="0.25">
      <c r="A604" t="s">
        <v>49</v>
      </c>
      <c r="B604" t="s">
        <v>15</v>
      </c>
      <c r="C604" t="s">
        <v>51</v>
      </c>
      <c r="D604" s="2">
        <v>44719</v>
      </c>
      <c r="E604" s="1" t="str">
        <f>TEXT(Table1[[#This Row],[Date]],"ddd")</f>
        <v>Tue</v>
      </c>
      <c r="F604" s="1" t="str">
        <f>TEXT(Table1[[#This Row],[Date]],"mmm")</f>
        <v>Jun</v>
      </c>
      <c r="G604" s="7">
        <v>679</v>
      </c>
      <c r="H604">
        <v>56</v>
      </c>
    </row>
    <row r="605" spans="1:8" x14ac:dyDescent="0.25">
      <c r="A605" t="s">
        <v>6</v>
      </c>
      <c r="B605" t="s">
        <v>10</v>
      </c>
      <c r="C605" t="s">
        <v>56</v>
      </c>
      <c r="D605" s="2">
        <v>44718</v>
      </c>
      <c r="E605" s="1" t="str">
        <f>TEXT(Table1[[#This Row],[Date]],"ddd")</f>
        <v>Mon</v>
      </c>
      <c r="F605" s="1" t="str">
        <f>TEXT(Table1[[#This Row],[Date]],"mmm")</f>
        <v>Jun</v>
      </c>
      <c r="G605" s="7">
        <v>2086</v>
      </c>
      <c r="H605">
        <v>74</v>
      </c>
    </row>
    <row r="606" spans="1:8" x14ac:dyDescent="0.25">
      <c r="A606" t="s">
        <v>31</v>
      </c>
      <c r="B606" t="s">
        <v>21</v>
      </c>
      <c r="C606" t="s">
        <v>56</v>
      </c>
      <c r="D606" s="2">
        <v>44656</v>
      </c>
      <c r="E606" s="1" t="str">
        <f>TEXT(Table1[[#This Row],[Date]],"ddd")</f>
        <v>Tue</v>
      </c>
      <c r="F606" s="1" t="str">
        <f>TEXT(Table1[[#This Row],[Date]],"mmm")</f>
        <v>Apr</v>
      </c>
      <c r="G606" s="7">
        <v>5012</v>
      </c>
      <c r="H606">
        <v>189</v>
      </c>
    </row>
    <row r="607" spans="1:8" x14ac:dyDescent="0.25">
      <c r="A607" t="s">
        <v>46</v>
      </c>
      <c r="B607" t="s">
        <v>26</v>
      </c>
      <c r="C607" t="s">
        <v>22</v>
      </c>
      <c r="D607" s="2">
        <v>44669</v>
      </c>
      <c r="E607" s="1" t="str">
        <f>TEXT(Table1[[#This Row],[Date]],"ddd")</f>
        <v>Mon</v>
      </c>
      <c r="F607" s="1" t="str">
        <f>TEXT(Table1[[#This Row],[Date]],"mmm")</f>
        <v>Apr</v>
      </c>
      <c r="G607" s="7">
        <v>4501</v>
      </c>
      <c r="H607">
        <v>131</v>
      </c>
    </row>
    <row r="608" spans="1:8" x14ac:dyDescent="0.25">
      <c r="A608" t="s">
        <v>48</v>
      </c>
      <c r="B608" t="s">
        <v>10</v>
      </c>
      <c r="C608" t="s">
        <v>22</v>
      </c>
      <c r="D608" s="2">
        <v>44592</v>
      </c>
      <c r="E608" s="1" t="str">
        <f>TEXT(Table1[[#This Row],[Date]],"ddd")</f>
        <v>Mon</v>
      </c>
      <c r="F608" s="1" t="str">
        <f>TEXT(Table1[[#This Row],[Date]],"mmm")</f>
        <v>Jan</v>
      </c>
      <c r="G608" s="7">
        <v>13482</v>
      </c>
      <c r="H608">
        <v>15</v>
      </c>
    </row>
    <row r="609" spans="1:8" x14ac:dyDescent="0.25">
      <c r="A609" t="s">
        <v>53</v>
      </c>
      <c r="B609" t="s">
        <v>26</v>
      </c>
      <c r="C609" t="s">
        <v>56</v>
      </c>
      <c r="D609" s="2">
        <v>44795</v>
      </c>
      <c r="E609" s="1" t="str">
        <f>TEXT(Table1[[#This Row],[Date]],"ddd")</f>
        <v>Mon</v>
      </c>
      <c r="F609" s="1" t="str">
        <f>TEXT(Table1[[#This Row],[Date]],"mmm")</f>
        <v>Aug</v>
      </c>
      <c r="G609" s="7">
        <v>5621</v>
      </c>
      <c r="H609">
        <v>140</v>
      </c>
    </row>
    <row r="610" spans="1:8" x14ac:dyDescent="0.25">
      <c r="A610" t="s">
        <v>6</v>
      </c>
      <c r="B610" t="s">
        <v>15</v>
      </c>
      <c r="C610" t="s">
        <v>18</v>
      </c>
      <c r="D610" s="2">
        <v>44617</v>
      </c>
      <c r="E610" s="1" t="str">
        <f>TEXT(Table1[[#This Row],[Date]],"ddd")</f>
        <v>Fri</v>
      </c>
      <c r="F610" s="1" t="str">
        <f>TEXT(Table1[[#This Row],[Date]],"mmm")</f>
        <v>Feb</v>
      </c>
      <c r="G610" s="7">
        <v>10486</v>
      </c>
      <c r="H610">
        <v>198</v>
      </c>
    </row>
    <row r="611" spans="1:8" x14ac:dyDescent="0.25">
      <c r="A611" t="s">
        <v>14</v>
      </c>
      <c r="B611" t="s">
        <v>15</v>
      </c>
      <c r="C611" t="s">
        <v>8</v>
      </c>
      <c r="D611" s="2">
        <v>44614</v>
      </c>
      <c r="E611" s="1" t="str">
        <f>TEXT(Table1[[#This Row],[Date]],"ddd")</f>
        <v>Tue</v>
      </c>
      <c r="F611" s="1" t="str">
        <f>TEXT(Table1[[#This Row],[Date]],"mmm")</f>
        <v>Feb</v>
      </c>
      <c r="G611" s="7">
        <v>17626</v>
      </c>
      <c r="H611">
        <v>103</v>
      </c>
    </row>
    <row r="612" spans="1:8" x14ac:dyDescent="0.25">
      <c r="A612" t="s">
        <v>17</v>
      </c>
      <c r="B612" t="s">
        <v>21</v>
      </c>
      <c r="C612" t="s">
        <v>37</v>
      </c>
      <c r="D612" s="2">
        <v>44573</v>
      </c>
      <c r="E612" s="1" t="str">
        <f>TEXT(Table1[[#This Row],[Date]],"ddd")</f>
        <v>Wed</v>
      </c>
      <c r="F612" s="1" t="str">
        <f>TEXT(Table1[[#This Row],[Date]],"mmm")</f>
        <v>Jan</v>
      </c>
      <c r="G612" s="7">
        <v>4494</v>
      </c>
      <c r="H612">
        <v>187</v>
      </c>
    </row>
    <row r="613" spans="1:8" x14ac:dyDescent="0.25">
      <c r="A613" t="s">
        <v>23</v>
      </c>
      <c r="B613" t="s">
        <v>7</v>
      </c>
      <c r="C613" t="s">
        <v>47</v>
      </c>
      <c r="D613" s="2">
        <v>44706</v>
      </c>
      <c r="E613" s="1" t="str">
        <f>TEXT(Table1[[#This Row],[Date]],"ddd")</f>
        <v>Wed</v>
      </c>
      <c r="F613" s="1" t="str">
        <f>TEXT(Table1[[#This Row],[Date]],"mmm")</f>
        <v>May</v>
      </c>
      <c r="G613" s="7">
        <v>105</v>
      </c>
      <c r="H613">
        <v>125</v>
      </c>
    </row>
    <row r="614" spans="1:8" x14ac:dyDescent="0.25">
      <c r="A614" t="s">
        <v>49</v>
      </c>
      <c r="B614" t="s">
        <v>10</v>
      </c>
      <c r="C614" t="s">
        <v>16</v>
      </c>
      <c r="D614" s="2">
        <v>44593</v>
      </c>
      <c r="E614" s="1" t="str">
        <f>TEXT(Table1[[#This Row],[Date]],"ddd")</f>
        <v>Tue</v>
      </c>
      <c r="F614" s="1" t="str">
        <f>TEXT(Table1[[#This Row],[Date]],"mmm")</f>
        <v>Feb</v>
      </c>
      <c r="G614" s="7">
        <v>2464</v>
      </c>
      <c r="H614">
        <v>8</v>
      </c>
    </row>
    <row r="615" spans="1:8" x14ac:dyDescent="0.25">
      <c r="A615" t="s">
        <v>24</v>
      </c>
      <c r="B615" t="s">
        <v>7</v>
      </c>
      <c r="C615" t="s">
        <v>30</v>
      </c>
      <c r="D615" s="2">
        <v>44678</v>
      </c>
      <c r="E615" s="1" t="str">
        <f>TEXT(Table1[[#This Row],[Date]],"ddd")</f>
        <v>Wed</v>
      </c>
      <c r="F615" s="1" t="str">
        <f>TEXT(Table1[[#This Row],[Date]],"mmm")</f>
        <v>Apr</v>
      </c>
      <c r="G615" s="7">
        <v>1379</v>
      </c>
      <c r="H615">
        <v>70</v>
      </c>
    </row>
    <row r="616" spans="1:8" x14ac:dyDescent="0.25">
      <c r="A616" t="s">
        <v>12</v>
      </c>
      <c r="B616" t="s">
        <v>26</v>
      </c>
      <c r="C616" t="s">
        <v>16</v>
      </c>
      <c r="D616" s="2">
        <v>44764</v>
      </c>
      <c r="E616" s="1" t="str">
        <f>TEXT(Table1[[#This Row],[Date]],"ddd")</f>
        <v>Fri</v>
      </c>
      <c r="F616" s="1" t="str">
        <f>TEXT(Table1[[#This Row],[Date]],"mmm")</f>
        <v>Jul</v>
      </c>
      <c r="G616" s="7">
        <v>2583</v>
      </c>
      <c r="H616">
        <v>126</v>
      </c>
    </row>
    <row r="617" spans="1:8" x14ac:dyDescent="0.25">
      <c r="A617" t="s">
        <v>38</v>
      </c>
      <c r="B617" t="s">
        <v>21</v>
      </c>
      <c r="C617" t="s">
        <v>8</v>
      </c>
      <c r="D617" s="2">
        <v>44587</v>
      </c>
      <c r="E617" s="1" t="str">
        <f>TEXT(Table1[[#This Row],[Date]],"ddd")</f>
        <v>Wed</v>
      </c>
      <c r="F617" s="1" t="str">
        <f>TEXT(Table1[[#This Row],[Date]],"mmm")</f>
        <v>Jan</v>
      </c>
      <c r="G617" s="7">
        <v>3220</v>
      </c>
      <c r="H617">
        <v>265</v>
      </c>
    </row>
    <row r="618" spans="1:8" x14ac:dyDescent="0.25">
      <c r="A618" t="s">
        <v>38</v>
      </c>
      <c r="B618" t="s">
        <v>26</v>
      </c>
      <c r="C618" t="s">
        <v>8</v>
      </c>
      <c r="D618" s="2">
        <v>44797</v>
      </c>
      <c r="E618" s="1" t="str">
        <f>TEXT(Table1[[#This Row],[Date]],"ddd")</f>
        <v>Wed</v>
      </c>
      <c r="F618" s="1" t="str">
        <f>TEXT(Table1[[#This Row],[Date]],"mmm")</f>
        <v>Aug</v>
      </c>
      <c r="G618" s="7">
        <v>4802</v>
      </c>
      <c r="H618">
        <v>296</v>
      </c>
    </row>
    <row r="619" spans="1:8" x14ac:dyDescent="0.25">
      <c r="A619" t="s">
        <v>53</v>
      </c>
      <c r="B619" t="s">
        <v>21</v>
      </c>
      <c r="C619" t="s">
        <v>42</v>
      </c>
      <c r="D619" s="2">
        <v>44579</v>
      </c>
      <c r="E619" s="1" t="str">
        <f>TEXT(Table1[[#This Row],[Date]],"ddd")</f>
        <v>Tue</v>
      </c>
      <c r="F619" s="1" t="str">
        <f>TEXT(Table1[[#This Row],[Date]],"mmm")</f>
        <v>Jan</v>
      </c>
      <c r="G619" s="7">
        <v>5677</v>
      </c>
      <c r="H619">
        <v>21</v>
      </c>
    </row>
    <row r="620" spans="1:8" x14ac:dyDescent="0.25">
      <c r="A620" t="s">
        <v>31</v>
      </c>
      <c r="B620" t="s">
        <v>10</v>
      </c>
      <c r="C620" t="s">
        <v>11</v>
      </c>
      <c r="D620" s="2">
        <v>44650</v>
      </c>
      <c r="E620" s="1" t="str">
        <f>TEXT(Table1[[#This Row],[Date]],"ddd")</f>
        <v>Wed</v>
      </c>
      <c r="F620" s="1" t="str">
        <f>TEXT(Table1[[#This Row],[Date]],"mmm")</f>
        <v>Mar</v>
      </c>
      <c r="G620" s="7">
        <v>945</v>
      </c>
      <c r="H620">
        <v>83</v>
      </c>
    </row>
    <row r="621" spans="1:8" x14ac:dyDescent="0.25">
      <c r="A621" t="s">
        <v>55</v>
      </c>
      <c r="B621" t="s">
        <v>15</v>
      </c>
      <c r="C621" t="s">
        <v>57</v>
      </c>
      <c r="D621" s="2">
        <v>44578</v>
      </c>
      <c r="E621" s="1" t="str">
        <f>TEXT(Table1[[#This Row],[Date]],"ddd")</f>
        <v>Mon</v>
      </c>
      <c r="F621" s="1" t="str">
        <f>TEXT(Table1[[#This Row],[Date]],"mmm")</f>
        <v>Jan</v>
      </c>
      <c r="G621" s="7">
        <v>8757</v>
      </c>
      <c r="H621">
        <v>162</v>
      </c>
    </row>
    <row r="622" spans="1:8" x14ac:dyDescent="0.25">
      <c r="A622" t="s">
        <v>49</v>
      </c>
      <c r="B622" t="s">
        <v>26</v>
      </c>
      <c r="C622" t="s">
        <v>42</v>
      </c>
      <c r="D622" s="2">
        <v>44609</v>
      </c>
      <c r="E622" s="1" t="str">
        <f>TEXT(Table1[[#This Row],[Date]],"ddd")</f>
        <v>Thu</v>
      </c>
      <c r="F622" s="1" t="str">
        <f>TEXT(Table1[[#This Row],[Date]],"mmm")</f>
        <v>Feb</v>
      </c>
      <c r="G622" s="7">
        <v>4816</v>
      </c>
      <c r="H622">
        <v>145</v>
      </c>
    </row>
    <row r="623" spans="1:8" x14ac:dyDescent="0.25">
      <c r="A623" t="s">
        <v>49</v>
      </c>
      <c r="B623" t="s">
        <v>29</v>
      </c>
      <c r="C623" t="s">
        <v>13</v>
      </c>
      <c r="D623" s="2">
        <v>44659</v>
      </c>
      <c r="E623" s="1" t="str">
        <f>TEXT(Table1[[#This Row],[Date]],"ddd")</f>
        <v>Fri</v>
      </c>
      <c r="F623" s="1" t="str">
        <f>TEXT(Table1[[#This Row],[Date]],"mmm")</f>
        <v>Apr</v>
      </c>
      <c r="G623" s="7">
        <v>7532</v>
      </c>
      <c r="H623">
        <v>44</v>
      </c>
    </row>
    <row r="624" spans="1:8" x14ac:dyDescent="0.25">
      <c r="A624" t="s">
        <v>12</v>
      </c>
      <c r="B624" t="s">
        <v>29</v>
      </c>
      <c r="C624" t="s">
        <v>32</v>
      </c>
      <c r="D624" s="2">
        <v>44748</v>
      </c>
      <c r="E624" s="1" t="str">
        <f>TEXT(Table1[[#This Row],[Date]],"ddd")</f>
        <v>Wed</v>
      </c>
      <c r="F624" s="1" t="str">
        <f>TEXT(Table1[[#This Row],[Date]],"mmm")</f>
        <v>Jul</v>
      </c>
      <c r="G624" s="7">
        <v>3549</v>
      </c>
      <c r="H624">
        <v>82</v>
      </c>
    </row>
    <row r="625" spans="1:8" x14ac:dyDescent="0.25">
      <c r="A625" t="s">
        <v>40</v>
      </c>
      <c r="B625" t="s">
        <v>10</v>
      </c>
      <c r="C625" t="s">
        <v>42</v>
      </c>
      <c r="D625" s="2">
        <v>44655</v>
      </c>
      <c r="E625" s="1" t="str">
        <f>TEXT(Table1[[#This Row],[Date]],"ddd")</f>
        <v>Mon</v>
      </c>
      <c r="F625" s="1" t="str">
        <f>TEXT(Table1[[#This Row],[Date]],"mmm")</f>
        <v>Apr</v>
      </c>
      <c r="G625" s="7">
        <v>4340</v>
      </c>
      <c r="H625">
        <v>226</v>
      </c>
    </row>
    <row r="626" spans="1:8" x14ac:dyDescent="0.25">
      <c r="A626" t="s">
        <v>14</v>
      </c>
      <c r="B626" t="s">
        <v>21</v>
      </c>
      <c r="C626" t="s">
        <v>35</v>
      </c>
      <c r="D626" s="2">
        <v>44622</v>
      </c>
      <c r="E626" s="1" t="str">
        <f>TEXT(Table1[[#This Row],[Date]],"ddd")</f>
        <v>Wed</v>
      </c>
      <c r="F626" s="1" t="str">
        <f>TEXT(Table1[[#This Row],[Date]],"mmm")</f>
        <v>Mar</v>
      </c>
      <c r="G626" s="7">
        <v>1799</v>
      </c>
      <c r="H626">
        <v>207</v>
      </c>
    </row>
    <row r="627" spans="1:8" x14ac:dyDescent="0.25">
      <c r="A627" t="s">
        <v>12</v>
      </c>
      <c r="B627" t="s">
        <v>21</v>
      </c>
      <c r="C627" t="s">
        <v>51</v>
      </c>
      <c r="D627" s="2">
        <v>44782</v>
      </c>
      <c r="E627" s="1" t="str">
        <f>TEXT(Table1[[#This Row],[Date]],"ddd")</f>
        <v>Tue</v>
      </c>
      <c r="F627" s="1" t="str">
        <f>TEXT(Table1[[#This Row],[Date]],"mmm")</f>
        <v>Aug</v>
      </c>
      <c r="G627" s="7">
        <v>1127</v>
      </c>
      <c r="H627">
        <v>176</v>
      </c>
    </row>
    <row r="628" spans="1:8" x14ac:dyDescent="0.25">
      <c r="A628" t="s">
        <v>43</v>
      </c>
      <c r="B628" t="s">
        <v>15</v>
      </c>
      <c r="C628" t="s">
        <v>37</v>
      </c>
      <c r="D628" s="2">
        <v>44721</v>
      </c>
      <c r="E628" s="1" t="str">
        <f>TEXT(Table1[[#This Row],[Date]],"ddd")</f>
        <v>Thu</v>
      </c>
      <c r="F628" s="1" t="str">
        <f>TEXT(Table1[[#This Row],[Date]],"mmm")</f>
        <v>Jun</v>
      </c>
      <c r="G628" s="7">
        <v>10038</v>
      </c>
      <c r="H628">
        <v>286</v>
      </c>
    </row>
    <row r="629" spans="1:8" x14ac:dyDescent="0.25">
      <c r="A629" t="s">
        <v>55</v>
      </c>
      <c r="B629" t="s">
        <v>7</v>
      </c>
      <c r="C629" t="s">
        <v>57</v>
      </c>
      <c r="D629" s="2">
        <v>44714</v>
      </c>
      <c r="E629" s="1" t="str">
        <f>TEXT(Table1[[#This Row],[Date]],"ddd")</f>
        <v>Thu</v>
      </c>
      <c r="F629" s="1" t="str">
        <f>TEXT(Table1[[#This Row],[Date]],"mmm")</f>
        <v>Jun</v>
      </c>
      <c r="G629" s="7">
        <v>2926</v>
      </c>
      <c r="H629">
        <v>300</v>
      </c>
    </row>
    <row r="630" spans="1:8" x14ac:dyDescent="0.25">
      <c r="A630" t="s">
        <v>9</v>
      </c>
      <c r="B630" t="s">
        <v>26</v>
      </c>
      <c r="C630" t="s">
        <v>42</v>
      </c>
      <c r="D630" s="2">
        <v>44747</v>
      </c>
      <c r="E630" s="1" t="str">
        <f>TEXT(Table1[[#This Row],[Date]],"ddd")</f>
        <v>Tue</v>
      </c>
      <c r="F630" s="1" t="str">
        <f>TEXT(Table1[[#This Row],[Date]],"mmm")</f>
        <v>Jul</v>
      </c>
      <c r="G630" s="7">
        <v>6279</v>
      </c>
      <c r="H630">
        <v>235</v>
      </c>
    </row>
    <row r="631" spans="1:8" x14ac:dyDescent="0.25">
      <c r="A631" t="s">
        <v>48</v>
      </c>
      <c r="B631" t="s">
        <v>29</v>
      </c>
      <c r="C631" t="s">
        <v>30</v>
      </c>
      <c r="D631" s="2">
        <v>44784</v>
      </c>
      <c r="E631" s="1" t="str">
        <f>TEXT(Table1[[#This Row],[Date]],"ddd")</f>
        <v>Thu</v>
      </c>
      <c r="F631" s="1" t="str">
        <f>TEXT(Table1[[#This Row],[Date]],"mmm")</f>
        <v>Aug</v>
      </c>
      <c r="G631" s="7">
        <v>308</v>
      </c>
      <c r="H631">
        <v>125</v>
      </c>
    </row>
    <row r="632" spans="1:8" x14ac:dyDescent="0.25">
      <c r="A632" t="s">
        <v>53</v>
      </c>
      <c r="B632" t="s">
        <v>10</v>
      </c>
      <c r="C632" t="s">
        <v>52</v>
      </c>
      <c r="D632" s="2">
        <v>44603</v>
      </c>
      <c r="E632" s="1" t="str">
        <f>TEXT(Table1[[#This Row],[Date]],"ddd")</f>
        <v>Fri</v>
      </c>
      <c r="F632" s="1" t="str">
        <f>TEXT(Table1[[#This Row],[Date]],"mmm")</f>
        <v>Feb</v>
      </c>
      <c r="G632" s="7">
        <v>3500</v>
      </c>
      <c r="H632">
        <v>145</v>
      </c>
    </row>
    <row r="633" spans="1:8" x14ac:dyDescent="0.25">
      <c r="A633" t="s">
        <v>49</v>
      </c>
      <c r="B633" t="s">
        <v>21</v>
      </c>
      <c r="C633" t="s">
        <v>39</v>
      </c>
      <c r="D633" s="2">
        <v>44784</v>
      </c>
      <c r="E633" s="1" t="str">
        <f>TEXT(Table1[[#This Row],[Date]],"ddd")</f>
        <v>Thu</v>
      </c>
      <c r="F633" s="1" t="str">
        <f>TEXT(Table1[[#This Row],[Date]],"mmm")</f>
        <v>Aug</v>
      </c>
      <c r="G633" s="7">
        <v>658</v>
      </c>
      <c r="H633">
        <v>65</v>
      </c>
    </row>
    <row r="634" spans="1:8" x14ac:dyDescent="0.25">
      <c r="A634" t="s">
        <v>36</v>
      </c>
      <c r="B634" t="s">
        <v>15</v>
      </c>
      <c r="C634" t="s">
        <v>32</v>
      </c>
      <c r="D634" s="2">
        <v>44693</v>
      </c>
      <c r="E634" s="1" t="str">
        <f>TEXT(Table1[[#This Row],[Date]],"ddd")</f>
        <v>Thu</v>
      </c>
      <c r="F634" s="1" t="str">
        <f>TEXT(Table1[[#This Row],[Date]],"mmm")</f>
        <v>May</v>
      </c>
      <c r="G634" s="7">
        <v>12565</v>
      </c>
      <c r="H634">
        <v>102</v>
      </c>
    </row>
    <row r="635" spans="1:8" x14ac:dyDescent="0.25">
      <c r="A635" t="s">
        <v>46</v>
      </c>
      <c r="B635" t="s">
        <v>26</v>
      </c>
      <c r="C635" t="s">
        <v>37</v>
      </c>
      <c r="D635" s="2">
        <v>44757</v>
      </c>
      <c r="E635" s="1" t="str">
        <f>TEXT(Table1[[#This Row],[Date]],"ddd")</f>
        <v>Fri</v>
      </c>
      <c r="F635" s="1" t="str">
        <f>TEXT(Table1[[#This Row],[Date]],"mmm")</f>
        <v>Jul</v>
      </c>
      <c r="G635" s="7">
        <v>5012</v>
      </c>
      <c r="H635">
        <v>93</v>
      </c>
    </row>
    <row r="636" spans="1:8" x14ac:dyDescent="0.25">
      <c r="A636" t="s">
        <v>48</v>
      </c>
      <c r="B636" t="s">
        <v>10</v>
      </c>
      <c r="C636" t="s">
        <v>35</v>
      </c>
      <c r="D636" s="2">
        <v>44579</v>
      </c>
      <c r="E636" s="1" t="str">
        <f>TEXT(Table1[[#This Row],[Date]],"ddd")</f>
        <v>Tue</v>
      </c>
      <c r="F636" s="1" t="str">
        <f>TEXT(Table1[[#This Row],[Date]],"mmm")</f>
        <v>Jan</v>
      </c>
      <c r="G636" s="7">
        <v>3955</v>
      </c>
      <c r="H636">
        <v>134</v>
      </c>
    </row>
    <row r="637" spans="1:8" x14ac:dyDescent="0.25">
      <c r="A637" t="s">
        <v>53</v>
      </c>
      <c r="B637" t="s">
        <v>7</v>
      </c>
      <c r="C637" t="s">
        <v>42</v>
      </c>
      <c r="D637" s="2">
        <v>44566</v>
      </c>
      <c r="E637" s="1" t="str">
        <f>TEXT(Table1[[#This Row],[Date]],"ddd")</f>
        <v>Wed</v>
      </c>
      <c r="F637" s="1" t="str">
        <f>TEXT(Table1[[#This Row],[Date]],"mmm")</f>
        <v>Jan</v>
      </c>
      <c r="G637" s="7">
        <v>8512</v>
      </c>
      <c r="H637">
        <v>189</v>
      </c>
    </row>
    <row r="638" spans="1:8" x14ac:dyDescent="0.25">
      <c r="A638" t="s">
        <v>38</v>
      </c>
      <c r="B638" t="s">
        <v>15</v>
      </c>
      <c r="C638" t="s">
        <v>22</v>
      </c>
      <c r="D638" s="2">
        <v>44741</v>
      </c>
      <c r="E638" s="1" t="str">
        <f>TEXT(Table1[[#This Row],[Date]],"ddd")</f>
        <v>Wed</v>
      </c>
      <c r="F638" s="1" t="str">
        <f>TEXT(Table1[[#This Row],[Date]],"mmm")</f>
        <v>Jun</v>
      </c>
      <c r="G638" s="7">
        <v>504</v>
      </c>
      <c r="H638">
        <v>232</v>
      </c>
    </row>
    <row r="639" spans="1:8" x14ac:dyDescent="0.25">
      <c r="A639" t="s">
        <v>23</v>
      </c>
      <c r="B639" t="s">
        <v>29</v>
      </c>
      <c r="C639" t="s">
        <v>51</v>
      </c>
      <c r="D639" s="2">
        <v>44726</v>
      </c>
      <c r="E639" s="1" t="str">
        <f>TEXT(Table1[[#This Row],[Date]],"ddd")</f>
        <v>Tue</v>
      </c>
      <c r="F639" s="1" t="str">
        <f>TEXT(Table1[[#This Row],[Date]],"mmm")</f>
        <v>Jun</v>
      </c>
      <c r="G639" s="7">
        <v>2800</v>
      </c>
      <c r="H639">
        <v>45</v>
      </c>
    </row>
    <row r="640" spans="1:8" x14ac:dyDescent="0.25">
      <c r="A640" t="s">
        <v>19</v>
      </c>
      <c r="B640" t="s">
        <v>10</v>
      </c>
      <c r="C640" t="s">
        <v>8</v>
      </c>
      <c r="D640" s="2">
        <v>44781</v>
      </c>
      <c r="E640" s="1" t="str">
        <f>TEXT(Table1[[#This Row],[Date]],"ddd")</f>
        <v>Mon</v>
      </c>
      <c r="F640" s="1" t="str">
        <f>TEXT(Table1[[#This Row],[Date]],"mmm")</f>
        <v>Aug</v>
      </c>
      <c r="G640" s="7">
        <v>4256</v>
      </c>
      <c r="H640">
        <v>67</v>
      </c>
    </row>
    <row r="641" spans="1:8" x14ac:dyDescent="0.25">
      <c r="A641" t="s">
        <v>43</v>
      </c>
      <c r="B641" t="s">
        <v>10</v>
      </c>
      <c r="C641" t="s">
        <v>8</v>
      </c>
      <c r="D641" s="2">
        <v>44643</v>
      </c>
      <c r="E641" s="1" t="str">
        <f>TEXT(Table1[[#This Row],[Date]],"ddd")</f>
        <v>Wed</v>
      </c>
      <c r="F641" s="1" t="str">
        <f>TEXT(Table1[[#This Row],[Date]],"mmm")</f>
        <v>Mar</v>
      </c>
      <c r="G641" s="7">
        <v>13573</v>
      </c>
      <c r="H641">
        <v>138</v>
      </c>
    </row>
    <row r="642" spans="1:8" x14ac:dyDescent="0.25">
      <c r="A642" t="s">
        <v>25</v>
      </c>
      <c r="B642" t="s">
        <v>10</v>
      </c>
      <c r="C642" t="s">
        <v>57</v>
      </c>
      <c r="D642" s="2">
        <v>44565</v>
      </c>
      <c r="E642" s="1" t="str">
        <f>TEXT(Table1[[#This Row],[Date]],"ddd")</f>
        <v>Tue</v>
      </c>
      <c r="F642" s="1" t="str">
        <f>TEXT(Table1[[#This Row],[Date]],"mmm")</f>
        <v>Jan</v>
      </c>
      <c r="G642" s="7">
        <v>6566</v>
      </c>
      <c r="H642">
        <v>99</v>
      </c>
    </row>
    <row r="643" spans="1:8" x14ac:dyDescent="0.25">
      <c r="A643" t="s">
        <v>23</v>
      </c>
      <c r="B643" t="s">
        <v>10</v>
      </c>
      <c r="C643" t="s">
        <v>37</v>
      </c>
      <c r="D643" s="2">
        <v>44614</v>
      </c>
      <c r="E643" s="1" t="str">
        <f>TEXT(Table1[[#This Row],[Date]],"ddd")</f>
        <v>Tue</v>
      </c>
      <c r="F643" s="1" t="str">
        <f>TEXT(Table1[[#This Row],[Date]],"mmm")</f>
        <v>Feb</v>
      </c>
      <c r="G643" s="7">
        <v>13503</v>
      </c>
      <c r="H643">
        <v>251</v>
      </c>
    </row>
    <row r="644" spans="1:8" x14ac:dyDescent="0.25">
      <c r="A644" t="s">
        <v>34</v>
      </c>
      <c r="B644" t="s">
        <v>7</v>
      </c>
      <c r="C644" t="s">
        <v>39</v>
      </c>
      <c r="D644" s="2">
        <v>44609</v>
      </c>
      <c r="E644" s="1" t="str">
        <f>TEXT(Table1[[#This Row],[Date]],"ddd")</f>
        <v>Thu</v>
      </c>
      <c r="F644" s="1" t="str">
        <f>TEXT(Table1[[#This Row],[Date]],"mmm")</f>
        <v>Feb</v>
      </c>
      <c r="G644" s="7">
        <v>8680</v>
      </c>
      <c r="H644">
        <v>252</v>
      </c>
    </row>
    <row r="645" spans="1:8" x14ac:dyDescent="0.25">
      <c r="A645" t="s">
        <v>25</v>
      </c>
      <c r="B645" t="s">
        <v>26</v>
      </c>
      <c r="C645" t="s">
        <v>47</v>
      </c>
      <c r="D645" s="2">
        <v>44595</v>
      </c>
      <c r="E645" s="1" t="str">
        <f>TEXT(Table1[[#This Row],[Date]],"ddd")</f>
        <v>Thu</v>
      </c>
      <c r="F645" s="1" t="str">
        <f>TEXT(Table1[[#This Row],[Date]],"mmm")</f>
        <v>Feb</v>
      </c>
      <c r="G645" s="7">
        <v>385</v>
      </c>
      <c r="H645">
        <v>78</v>
      </c>
    </row>
    <row r="646" spans="1:8" x14ac:dyDescent="0.25">
      <c r="A646" t="s">
        <v>9</v>
      </c>
      <c r="B646" t="s">
        <v>29</v>
      </c>
      <c r="C646" t="s">
        <v>51</v>
      </c>
      <c r="D646" s="2">
        <v>44637</v>
      </c>
      <c r="E646" s="1" t="str">
        <f>TEXT(Table1[[#This Row],[Date]],"ddd")</f>
        <v>Thu</v>
      </c>
      <c r="F646" s="1" t="str">
        <f>TEXT(Table1[[#This Row],[Date]],"mmm")</f>
        <v>Mar</v>
      </c>
      <c r="G646" s="7">
        <v>1267</v>
      </c>
      <c r="H646">
        <v>130</v>
      </c>
    </row>
    <row r="647" spans="1:8" x14ac:dyDescent="0.25">
      <c r="A647" t="s">
        <v>46</v>
      </c>
      <c r="B647" t="s">
        <v>15</v>
      </c>
      <c r="C647" t="s">
        <v>56</v>
      </c>
      <c r="D647" s="2">
        <v>44586</v>
      </c>
      <c r="E647" s="1" t="str">
        <f>TEXT(Table1[[#This Row],[Date]],"ddd")</f>
        <v>Tue</v>
      </c>
      <c r="F647" s="1" t="str">
        <f>TEXT(Table1[[#This Row],[Date]],"mmm")</f>
        <v>Jan</v>
      </c>
      <c r="G647" s="7">
        <v>2961</v>
      </c>
      <c r="H647">
        <v>154</v>
      </c>
    </row>
    <row r="648" spans="1:8" x14ac:dyDescent="0.25">
      <c r="A648" t="s">
        <v>23</v>
      </c>
      <c r="B648" t="s">
        <v>15</v>
      </c>
      <c r="C648" t="s">
        <v>37</v>
      </c>
      <c r="D648" s="2">
        <v>44769</v>
      </c>
      <c r="E648" s="1" t="str">
        <f>TEXT(Table1[[#This Row],[Date]],"ddd")</f>
        <v>Wed</v>
      </c>
      <c r="F648" s="1" t="str">
        <f>TEXT(Table1[[#This Row],[Date]],"mmm")</f>
        <v>Jul</v>
      </c>
      <c r="G648" s="7">
        <v>1981</v>
      </c>
      <c r="H648">
        <v>52</v>
      </c>
    </row>
    <row r="649" spans="1:8" x14ac:dyDescent="0.25">
      <c r="A649" t="s">
        <v>40</v>
      </c>
      <c r="B649" t="s">
        <v>15</v>
      </c>
      <c r="C649" t="s">
        <v>42</v>
      </c>
      <c r="D649" s="2">
        <v>44589</v>
      </c>
      <c r="E649" s="1" t="str">
        <f>TEXT(Table1[[#This Row],[Date]],"ddd")</f>
        <v>Fri</v>
      </c>
      <c r="F649" s="1" t="str">
        <f>TEXT(Table1[[#This Row],[Date]],"mmm")</f>
        <v>Jan</v>
      </c>
      <c r="G649" s="7">
        <v>7959</v>
      </c>
      <c r="H649">
        <v>53</v>
      </c>
    </row>
    <row r="650" spans="1:8" x14ac:dyDescent="0.25">
      <c r="A650" t="s">
        <v>53</v>
      </c>
      <c r="B650" t="s">
        <v>15</v>
      </c>
      <c r="C650" t="s">
        <v>35</v>
      </c>
      <c r="D650" s="2">
        <v>44747</v>
      </c>
      <c r="E650" s="1" t="str">
        <f>TEXT(Table1[[#This Row],[Date]],"ddd")</f>
        <v>Tue</v>
      </c>
      <c r="F650" s="1" t="str">
        <f>TEXT(Table1[[#This Row],[Date]],"mmm")</f>
        <v>Jul</v>
      </c>
      <c r="G650" s="7">
        <v>10794</v>
      </c>
      <c r="H650">
        <v>50</v>
      </c>
    </row>
    <row r="651" spans="1:8" x14ac:dyDescent="0.25">
      <c r="A651" t="s">
        <v>9</v>
      </c>
      <c r="B651" t="s">
        <v>10</v>
      </c>
      <c r="C651" t="s">
        <v>44</v>
      </c>
      <c r="D651" s="2">
        <v>44635</v>
      </c>
      <c r="E651" s="1" t="str">
        <f>TEXT(Table1[[#This Row],[Date]],"ddd")</f>
        <v>Tue</v>
      </c>
      <c r="F651" s="1" t="str">
        <f>TEXT(Table1[[#This Row],[Date]],"mmm")</f>
        <v>Mar</v>
      </c>
      <c r="G651" s="7">
        <v>1897</v>
      </c>
      <c r="H651">
        <v>44</v>
      </c>
    </row>
    <row r="652" spans="1:8" x14ac:dyDescent="0.25">
      <c r="A652" t="s">
        <v>19</v>
      </c>
      <c r="B652" t="s">
        <v>29</v>
      </c>
      <c r="C652" t="s">
        <v>20</v>
      </c>
      <c r="D652" s="2">
        <v>44777</v>
      </c>
      <c r="E652" s="1" t="str">
        <f>TEXT(Table1[[#This Row],[Date]],"ddd")</f>
        <v>Thu</v>
      </c>
      <c r="F652" s="1" t="str">
        <f>TEXT(Table1[[#This Row],[Date]],"mmm")</f>
        <v>Aug</v>
      </c>
      <c r="G652" s="7">
        <v>2744</v>
      </c>
      <c r="H652">
        <v>200</v>
      </c>
    </row>
    <row r="653" spans="1:8" x14ac:dyDescent="0.25">
      <c r="A653" t="s">
        <v>14</v>
      </c>
      <c r="B653" t="s">
        <v>26</v>
      </c>
      <c r="C653" t="s">
        <v>42</v>
      </c>
      <c r="D653" s="2">
        <v>44739</v>
      </c>
      <c r="E653" s="1" t="str">
        <f>TEXT(Table1[[#This Row],[Date]],"ddd")</f>
        <v>Mon</v>
      </c>
      <c r="F653" s="1" t="str">
        <f>TEXT(Table1[[#This Row],[Date]],"mmm")</f>
        <v>Jun</v>
      </c>
      <c r="G653" s="7">
        <v>4382</v>
      </c>
      <c r="H653">
        <v>361</v>
      </c>
    </row>
    <row r="654" spans="1:8" x14ac:dyDescent="0.25">
      <c r="A654" t="s">
        <v>14</v>
      </c>
      <c r="B654" t="s">
        <v>29</v>
      </c>
      <c r="C654" t="s">
        <v>20</v>
      </c>
      <c r="D654" s="2">
        <v>44755</v>
      </c>
      <c r="E654" s="1" t="str">
        <f>TEXT(Table1[[#This Row],[Date]],"ddd")</f>
        <v>Wed</v>
      </c>
      <c r="F654" s="1" t="str">
        <f>TEXT(Table1[[#This Row],[Date]],"mmm")</f>
        <v>Jul</v>
      </c>
      <c r="G654" s="7">
        <v>4515</v>
      </c>
      <c r="H654">
        <v>172</v>
      </c>
    </row>
    <row r="655" spans="1:8" x14ac:dyDescent="0.25">
      <c r="A655" t="s">
        <v>25</v>
      </c>
      <c r="B655" t="s">
        <v>21</v>
      </c>
      <c r="C655" t="s">
        <v>45</v>
      </c>
      <c r="D655" s="2">
        <v>44616</v>
      </c>
      <c r="E655" s="1" t="str">
        <f>TEXT(Table1[[#This Row],[Date]],"ddd")</f>
        <v>Thu</v>
      </c>
      <c r="F655" s="1" t="str">
        <f>TEXT(Table1[[#This Row],[Date]],"mmm")</f>
        <v>Feb</v>
      </c>
      <c r="G655" s="7">
        <v>5474</v>
      </c>
      <c r="H655">
        <v>239</v>
      </c>
    </row>
    <row r="656" spans="1:8" x14ac:dyDescent="0.25">
      <c r="A656" t="s">
        <v>31</v>
      </c>
      <c r="B656" t="s">
        <v>21</v>
      </c>
      <c r="C656" t="s">
        <v>11</v>
      </c>
      <c r="D656" s="2">
        <v>44740</v>
      </c>
      <c r="E656" s="1" t="str">
        <f>TEXT(Table1[[#This Row],[Date]],"ddd")</f>
        <v>Tue</v>
      </c>
      <c r="F656" s="1" t="str">
        <f>TEXT(Table1[[#This Row],[Date]],"mmm")</f>
        <v>Jun</v>
      </c>
      <c r="G656" s="7">
        <v>6069</v>
      </c>
      <c r="H656">
        <v>55</v>
      </c>
    </row>
    <row r="657" spans="1:8" x14ac:dyDescent="0.25">
      <c r="A657" t="s">
        <v>17</v>
      </c>
      <c r="B657" t="s">
        <v>15</v>
      </c>
      <c r="C657" t="s">
        <v>11</v>
      </c>
      <c r="D657" s="2">
        <v>44742</v>
      </c>
      <c r="E657" s="1" t="str">
        <f>TEXT(Table1[[#This Row],[Date]],"ddd")</f>
        <v>Thu</v>
      </c>
      <c r="F657" s="1" t="str">
        <f>TEXT(Table1[[#This Row],[Date]],"mmm")</f>
        <v>Jun</v>
      </c>
      <c r="G657" s="7">
        <v>6944</v>
      </c>
      <c r="H657">
        <v>27</v>
      </c>
    </row>
    <row r="658" spans="1:8" x14ac:dyDescent="0.25">
      <c r="A658" t="s">
        <v>38</v>
      </c>
      <c r="B658" t="s">
        <v>29</v>
      </c>
      <c r="C658" t="s">
        <v>52</v>
      </c>
      <c r="D658" s="2">
        <v>44791</v>
      </c>
      <c r="E658" s="1" t="str">
        <f>TEXT(Table1[[#This Row],[Date]],"ddd")</f>
        <v>Thu</v>
      </c>
      <c r="F658" s="1" t="str">
        <f>TEXT(Table1[[#This Row],[Date]],"mmm")</f>
        <v>Aug</v>
      </c>
      <c r="G658" s="7">
        <v>5859</v>
      </c>
      <c r="H658">
        <v>7</v>
      </c>
    </row>
    <row r="659" spans="1:8" x14ac:dyDescent="0.25">
      <c r="A659" t="s">
        <v>41</v>
      </c>
      <c r="B659" t="s">
        <v>10</v>
      </c>
      <c r="C659" t="s">
        <v>58</v>
      </c>
      <c r="D659" s="2">
        <v>44585</v>
      </c>
      <c r="E659" s="1" t="str">
        <f>TEXT(Table1[[#This Row],[Date]],"ddd")</f>
        <v>Mon</v>
      </c>
      <c r="F659" s="1" t="str">
        <f>TEXT(Table1[[#This Row],[Date]],"mmm")</f>
        <v>Jan</v>
      </c>
      <c r="G659" s="7">
        <v>12173</v>
      </c>
      <c r="H659">
        <v>301</v>
      </c>
    </row>
    <row r="660" spans="1:8" x14ac:dyDescent="0.25">
      <c r="A660" t="s">
        <v>34</v>
      </c>
      <c r="B660" t="s">
        <v>26</v>
      </c>
      <c r="C660" t="s">
        <v>44</v>
      </c>
      <c r="D660" s="2">
        <v>44631</v>
      </c>
      <c r="E660" s="1" t="str">
        <f>TEXT(Table1[[#This Row],[Date]],"ddd")</f>
        <v>Fri</v>
      </c>
      <c r="F660" s="1" t="str">
        <f>TEXT(Table1[[#This Row],[Date]],"mmm")</f>
        <v>Mar</v>
      </c>
      <c r="G660" s="7">
        <v>5292</v>
      </c>
      <c r="H660">
        <v>134</v>
      </c>
    </row>
    <row r="661" spans="1:8" x14ac:dyDescent="0.25">
      <c r="A661" t="s">
        <v>55</v>
      </c>
      <c r="B661" t="s">
        <v>21</v>
      </c>
      <c r="C661" t="s">
        <v>20</v>
      </c>
      <c r="D661" s="2">
        <v>44735</v>
      </c>
      <c r="E661" s="1" t="str">
        <f>TEXT(Table1[[#This Row],[Date]],"ddd")</f>
        <v>Thu</v>
      </c>
      <c r="F661" s="1" t="str">
        <f>TEXT(Table1[[#This Row],[Date]],"mmm")</f>
        <v>Jun</v>
      </c>
      <c r="G661" s="7">
        <v>5705</v>
      </c>
      <c r="H661">
        <v>350</v>
      </c>
    </row>
    <row r="662" spans="1:8" x14ac:dyDescent="0.25">
      <c r="A662" t="s">
        <v>40</v>
      </c>
      <c r="B662" t="s">
        <v>10</v>
      </c>
      <c r="C662" t="s">
        <v>39</v>
      </c>
      <c r="D662" s="2">
        <v>44795</v>
      </c>
      <c r="E662" s="1" t="str">
        <f>TEXT(Table1[[#This Row],[Date]],"ddd")</f>
        <v>Mon</v>
      </c>
      <c r="F662" s="1" t="str">
        <f>TEXT(Table1[[#This Row],[Date]],"mmm")</f>
        <v>Aug</v>
      </c>
      <c r="G662" s="7">
        <v>2492</v>
      </c>
      <c r="H662">
        <v>33</v>
      </c>
    </row>
    <row r="663" spans="1:8" x14ac:dyDescent="0.25">
      <c r="A663" t="s">
        <v>19</v>
      </c>
      <c r="B663" t="s">
        <v>29</v>
      </c>
      <c r="C663" t="s">
        <v>22</v>
      </c>
      <c r="D663" s="2">
        <v>44565</v>
      </c>
      <c r="E663" s="1" t="str">
        <f>TEXT(Table1[[#This Row],[Date]],"ddd")</f>
        <v>Tue</v>
      </c>
      <c r="F663" s="1" t="str">
        <f>TEXT(Table1[[#This Row],[Date]],"mmm")</f>
        <v>Jan</v>
      </c>
      <c r="G663" s="7">
        <v>3024</v>
      </c>
      <c r="H663">
        <v>23</v>
      </c>
    </row>
    <row r="664" spans="1:8" x14ac:dyDescent="0.25">
      <c r="A664" t="s">
        <v>38</v>
      </c>
      <c r="B664" t="s">
        <v>10</v>
      </c>
      <c r="C664" t="s">
        <v>37</v>
      </c>
      <c r="D664" s="2">
        <v>44656</v>
      </c>
      <c r="E664" s="1" t="str">
        <f>TEXT(Table1[[#This Row],[Date]],"ddd")</f>
        <v>Tue</v>
      </c>
      <c r="F664" s="1" t="str">
        <f>TEXT(Table1[[#This Row],[Date]],"mmm")</f>
        <v>Apr</v>
      </c>
      <c r="G664" s="7">
        <v>3437</v>
      </c>
      <c r="H664">
        <v>201</v>
      </c>
    </row>
    <row r="665" spans="1:8" x14ac:dyDescent="0.25">
      <c r="A665" t="s">
        <v>34</v>
      </c>
      <c r="B665" t="s">
        <v>10</v>
      </c>
      <c r="C665" t="s">
        <v>37</v>
      </c>
      <c r="D665" s="2">
        <v>44666</v>
      </c>
      <c r="E665" s="1" t="str">
        <f>TEXT(Table1[[#This Row],[Date]],"ddd")</f>
        <v>Fri</v>
      </c>
      <c r="F665" s="1" t="str">
        <f>TEXT(Table1[[#This Row],[Date]],"mmm")</f>
        <v>Apr</v>
      </c>
      <c r="G665" s="7">
        <v>1869</v>
      </c>
      <c r="H665">
        <v>323</v>
      </c>
    </row>
    <row r="666" spans="1:8" x14ac:dyDescent="0.25">
      <c r="A666" t="s">
        <v>40</v>
      </c>
      <c r="B666" t="s">
        <v>15</v>
      </c>
      <c r="C666" t="s">
        <v>44</v>
      </c>
      <c r="D666" s="2">
        <v>44692</v>
      </c>
      <c r="E666" s="1" t="str">
        <f>TEXT(Table1[[#This Row],[Date]],"ddd")</f>
        <v>Wed</v>
      </c>
      <c r="F666" s="1" t="str">
        <f>TEXT(Table1[[#This Row],[Date]],"mmm")</f>
        <v>May</v>
      </c>
      <c r="G666" s="7">
        <v>3171</v>
      </c>
      <c r="H666">
        <v>220</v>
      </c>
    </row>
    <row r="667" spans="1:8" x14ac:dyDescent="0.25">
      <c r="A667" t="s">
        <v>48</v>
      </c>
      <c r="B667" t="s">
        <v>29</v>
      </c>
      <c r="C667" t="s">
        <v>45</v>
      </c>
      <c r="D667" s="2">
        <v>44763</v>
      </c>
      <c r="E667" s="1" t="str">
        <f>TEXT(Table1[[#This Row],[Date]],"ddd")</f>
        <v>Thu</v>
      </c>
      <c r="F667" s="1" t="str">
        <f>TEXT(Table1[[#This Row],[Date]],"mmm")</f>
        <v>Jul</v>
      </c>
      <c r="G667" s="7">
        <v>4858</v>
      </c>
      <c r="H667">
        <v>488</v>
      </c>
    </row>
    <row r="668" spans="1:8" x14ac:dyDescent="0.25">
      <c r="A668" t="s">
        <v>14</v>
      </c>
      <c r="B668" t="s">
        <v>21</v>
      </c>
      <c r="C668" t="s">
        <v>27</v>
      </c>
      <c r="D668" s="2">
        <v>44603</v>
      </c>
      <c r="E668" s="1" t="str">
        <f>TEXT(Table1[[#This Row],[Date]],"ddd")</f>
        <v>Fri</v>
      </c>
      <c r="F668" s="1" t="str">
        <f>TEXT(Table1[[#This Row],[Date]],"mmm")</f>
        <v>Feb</v>
      </c>
      <c r="G668" s="7">
        <v>1225</v>
      </c>
      <c r="H668">
        <v>84</v>
      </c>
    </row>
    <row r="669" spans="1:8" x14ac:dyDescent="0.25">
      <c r="A669" t="s">
        <v>48</v>
      </c>
      <c r="B669" t="s">
        <v>29</v>
      </c>
      <c r="C669" t="s">
        <v>16</v>
      </c>
      <c r="D669" s="2">
        <v>44750</v>
      </c>
      <c r="E669" s="1" t="str">
        <f>TEXT(Table1[[#This Row],[Date]],"ddd")</f>
        <v>Fri</v>
      </c>
      <c r="F669" s="1" t="str">
        <f>TEXT(Table1[[#This Row],[Date]],"mmm")</f>
        <v>Jul</v>
      </c>
      <c r="G669" s="7">
        <v>1155</v>
      </c>
      <c r="H669">
        <v>79</v>
      </c>
    </row>
    <row r="670" spans="1:8" x14ac:dyDescent="0.25">
      <c r="A670" t="s">
        <v>19</v>
      </c>
      <c r="B670" t="s">
        <v>7</v>
      </c>
      <c r="C670" t="s">
        <v>51</v>
      </c>
      <c r="D670" s="2">
        <v>44784</v>
      </c>
      <c r="E670" s="1" t="str">
        <f>TEXT(Table1[[#This Row],[Date]],"ddd")</f>
        <v>Thu</v>
      </c>
      <c r="F670" s="1" t="str">
        <f>TEXT(Table1[[#This Row],[Date]],"mmm")</f>
        <v>Aug</v>
      </c>
      <c r="G670" s="7">
        <v>6811</v>
      </c>
      <c r="H670">
        <v>344</v>
      </c>
    </row>
    <row r="671" spans="1:8" x14ac:dyDescent="0.25">
      <c r="A671" t="s">
        <v>40</v>
      </c>
      <c r="B671" t="s">
        <v>21</v>
      </c>
      <c r="C671" t="s">
        <v>20</v>
      </c>
      <c r="D671" s="2">
        <v>44777</v>
      </c>
      <c r="E671" s="1" t="str">
        <f>TEXT(Table1[[#This Row],[Date]],"ddd")</f>
        <v>Thu</v>
      </c>
      <c r="F671" s="1" t="str">
        <f>TEXT(Table1[[#This Row],[Date]],"mmm")</f>
        <v>Aug</v>
      </c>
      <c r="G671" s="7">
        <v>6433</v>
      </c>
      <c r="H671">
        <v>7</v>
      </c>
    </row>
    <row r="672" spans="1:8" x14ac:dyDescent="0.25">
      <c r="A672" t="s">
        <v>48</v>
      </c>
      <c r="B672" t="s">
        <v>21</v>
      </c>
      <c r="C672" t="s">
        <v>27</v>
      </c>
      <c r="D672" s="2">
        <v>44726</v>
      </c>
      <c r="E672" s="1" t="str">
        <f>TEXT(Table1[[#This Row],[Date]],"ddd")</f>
        <v>Tue</v>
      </c>
      <c r="F672" s="1" t="str">
        <f>TEXT(Table1[[#This Row],[Date]],"mmm")</f>
        <v>Jun</v>
      </c>
      <c r="G672" s="7">
        <v>8169</v>
      </c>
      <c r="H672">
        <v>88</v>
      </c>
    </row>
    <row r="673" spans="1:8" x14ac:dyDescent="0.25">
      <c r="A673" t="s">
        <v>43</v>
      </c>
      <c r="B673" t="s">
        <v>7</v>
      </c>
      <c r="C673" t="s">
        <v>56</v>
      </c>
      <c r="D673" s="2">
        <v>44578</v>
      </c>
      <c r="E673" s="1" t="str">
        <f>TEXT(Table1[[#This Row],[Date]],"ddd")</f>
        <v>Mon</v>
      </c>
      <c r="F673" s="1" t="str">
        <f>TEXT(Table1[[#This Row],[Date]],"mmm")</f>
        <v>Jan</v>
      </c>
      <c r="G673" s="7">
        <v>2275</v>
      </c>
      <c r="H673">
        <v>275</v>
      </c>
    </row>
    <row r="674" spans="1:8" x14ac:dyDescent="0.25">
      <c r="A674" t="s">
        <v>6</v>
      </c>
      <c r="B674" t="s">
        <v>29</v>
      </c>
      <c r="C674" t="s">
        <v>27</v>
      </c>
      <c r="D674" s="2">
        <v>44735</v>
      </c>
      <c r="E674" s="1" t="str">
        <f>TEXT(Table1[[#This Row],[Date]],"ddd")</f>
        <v>Thu</v>
      </c>
      <c r="F674" s="1" t="str">
        <f>TEXT(Table1[[#This Row],[Date]],"mmm")</f>
        <v>Jun</v>
      </c>
      <c r="G674" s="7">
        <v>3857</v>
      </c>
      <c r="H674">
        <v>512</v>
      </c>
    </row>
    <row r="675" spans="1:8" x14ac:dyDescent="0.25">
      <c r="A675" t="s">
        <v>6</v>
      </c>
      <c r="B675" t="s">
        <v>7</v>
      </c>
      <c r="C675" t="s">
        <v>16</v>
      </c>
      <c r="D675" s="2">
        <v>44797</v>
      </c>
      <c r="E675" s="1" t="str">
        <f>TEXT(Table1[[#This Row],[Date]],"ddd")</f>
        <v>Wed</v>
      </c>
      <c r="F675" s="1" t="str">
        <f>TEXT(Table1[[#This Row],[Date]],"mmm")</f>
        <v>Aug</v>
      </c>
      <c r="G675" s="7">
        <v>1463</v>
      </c>
      <c r="H675">
        <v>113</v>
      </c>
    </row>
    <row r="676" spans="1:8" x14ac:dyDescent="0.25">
      <c r="A676" t="s">
        <v>48</v>
      </c>
      <c r="B676" t="s">
        <v>7</v>
      </c>
      <c r="C676" t="s">
        <v>57</v>
      </c>
      <c r="D676" s="2">
        <v>44719</v>
      </c>
      <c r="E676" s="1" t="str">
        <f>TEXT(Table1[[#This Row],[Date]],"ddd")</f>
        <v>Tue</v>
      </c>
      <c r="F676" s="1" t="str">
        <f>TEXT(Table1[[#This Row],[Date]],"mmm")</f>
        <v>Jun</v>
      </c>
      <c r="G676" s="7">
        <v>7924</v>
      </c>
      <c r="H676">
        <v>275</v>
      </c>
    </row>
    <row r="677" spans="1:8" x14ac:dyDescent="0.25">
      <c r="A677" t="s">
        <v>14</v>
      </c>
      <c r="B677" t="s">
        <v>7</v>
      </c>
      <c r="C677" t="s">
        <v>44</v>
      </c>
      <c r="D677" s="2">
        <v>44734</v>
      </c>
      <c r="E677" s="1" t="str">
        <f>TEXT(Table1[[#This Row],[Date]],"ddd")</f>
        <v>Wed</v>
      </c>
      <c r="F677" s="1" t="str">
        <f>TEXT(Table1[[#This Row],[Date]],"mmm")</f>
        <v>Jun</v>
      </c>
      <c r="G677" s="7">
        <v>8799</v>
      </c>
      <c r="H677">
        <v>47</v>
      </c>
    </row>
    <row r="678" spans="1:8" x14ac:dyDescent="0.25">
      <c r="A678" t="s">
        <v>54</v>
      </c>
      <c r="B678" t="s">
        <v>26</v>
      </c>
      <c r="C678" t="s">
        <v>42</v>
      </c>
      <c r="D678" s="2">
        <v>44755</v>
      </c>
      <c r="E678" s="1" t="str">
        <f>TEXT(Table1[[#This Row],[Date]],"ddd")</f>
        <v>Wed</v>
      </c>
      <c r="F678" s="1" t="str">
        <f>TEXT(Table1[[#This Row],[Date]],"mmm")</f>
        <v>Jul</v>
      </c>
      <c r="G678" s="7">
        <v>2898</v>
      </c>
      <c r="H678">
        <v>276</v>
      </c>
    </row>
    <row r="679" spans="1:8" x14ac:dyDescent="0.25">
      <c r="A679" t="s">
        <v>49</v>
      </c>
      <c r="B679" t="s">
        <v>7</v>
      </c>
      <c r="C679" t="s">
        <v>52</v>
      </c>
      <c r="D679" s="2">
        <v>44705</v>
      </c>
      <c r="E679" s="1" t="str">
        <f>TEXT(Table1[[#This Row],[Date]],"ddd")</f>
        <v>Tue</v>
      </c>
      <c r="F679" s="1" t="str">
        <f>TEXT(Table1[[#This Row],[Date]],"mmm")</f>
        <v>May</v>
      </c>
      <c r="G679" s="7">
        <v>9506</v>
      </c>
      <c r="H679">
        <v>212</v>
      </c>
    </row>
    <row r="680" spans="1:8" x14ac:dyDescent="0.25">
      <c r="A680" t="s">
        <v>19</v>
      </c>
      <c r="B680" t="s">
        <v>21</v>
      </c>
      <c r="C680" t="s">
        <v>20</v>
      </c>
      <c r="D680" s="2">
        <v>44782</v>
      </c>
      <c r="E680" s="1" t="str">
        <f>TEXT(Table1[[#This Row],[Date]],"ddd")</f>
        <v>Tue</v>
      </c>
      <c r="F680" s="1" t="str">
        <f>TEXT(Table1[[#This Row],[Date]],"mmm")</f>
        <v>Aug</v>
      </c>
      <c r="G680" s="7">
        <v>7175</v>
      </c>
      <c r="H680">
        <v>145</v>
      </c>
    </row>
    <row r="681" spans="1:8" x14ac:dyDescent="0.25">
      <c r="A681" t="s">
        <v>41</v>
      </c>
      <c r="B681" t="s">
        <v>29</v>
      </c>
      <c r="C681" t="s">
        <v>11</v>
      </c>
      <c r="D681" s="2">
        <v>44657</v>
      </c>
      <c r="E681" s="1" t="str">
        <f>TEXT(Table1[[#This Row],[Date]],"ddd")</f>
        <v>Wed</v>
      </c>
      <c r="F681" s="1" t="str">
        <f>TEXT(Table1[[#This Row],[Date]],"mmm")</f>
        <v>Apr</v>
      </c>
      <c r="G681" s="7">
        <v>1729</v>
      </c>
      <c r="H681">
        <v>31</v>
      </c>
    </row>
    <row r="682" spans="1:8" x14ac:dyDescent="0.25">
      <c r="A682" t="s">
        <v>14</v>
      </c>
      <c r="B682" t="s">
        <v>21</v>
      </c>
      <c r="C682" t="s">
        <v>45</v>
      </c>
      <c r="D682" s="2">
        <v>44770</v>
      </c>
      <c r="E682" s="1" t="str">
        <f>TEXT(Table1[[#This Row],[Date]],"ddd")</f>
        <v>Thu</v>
      </c>
      <c r="F682" s="1" t="str">
        <f>TEXT(Table1[[#This Row],[Date]],"mmm")</f>
        <v>Jul</v>
      </c>
      <c r="G682" s="7">
        <v>1589</v>
      </c>
      <c r="H682">
        <v>271</v>
      </c>
    </row>
    <row r="683" spans="1:8" x14ac:dyDescent="0.25">
      <c r="A683" t="s">
        <v>19</v>
      </c>
      <c r="B683" t="s">
        <v>21</v>
      </c>
      <c r="C683" t="s">
        <v>51</v>
      </c>
      <c r="D683" s="2">
        <v>44797</v>
      </c>
      <c r="E683" s="1" t="str">
        <f>TEXT(Table1[[#This Row],[Date]],"ddd")</f>
        <v>Wed</v>
      </c>
      <c r="F683" s="1" t="str">
        <f>TEXT(Table1[[#This Row],[Date]],"mmm")</f>
        <v>Aug</v>
      </c>
      <c r="G683" s="7">
        <v>630</v>
      </c>
      <c r="H683">
        <v>52</v>
      </c>
    </row>
    <row r="684" spans="1:8" x14ac:dyDescent="0.25">
      <c r="A684" t="s">
        <v>9</v>
      </c>
      <c r="B684" t="s">
        <v>15</v>
      </c>
      <c r="C684" t="s">
        <v>18</v>
      </c>
      <c r="D684" s="2">
        <v>44578</v>
      </c>
      <c r="E684" s="1" t="str">
        <f>TEXT(Table1[[#This Row],[Date]],"ddd")</f>
        <v>Mon</v>
      </c>
      <c r="F684" s="1" t="str">
        <f>TEXT(Table1[[#This Row],[Date]],"mmm")</f>
        <v>Jan</v>
      </c>
      <c r="G684" s="7">
        <v>112</v>
      </c>
      <c r="H684">
        <v>128</v>
      </c>
    </row>
    <row r="685" spans="1:8" x14ac:dyDescent="0.25">
      <c r="A685" t="s">
        <v>38</v>
      </c>
      <c r="B685" t="s">
        <v>26</v>
      </c>
      <c r="C685" t="s">
        <v>32</v>
      </c>
      <c r="D685" s="2">
        <v>44599</v>
      </c>
      <c r="E685" s="1" t="str">
        <f>TEXT(Table1[[#This Row],[Date]],"ddd")</f>
        <v>Mon</v>
      </c>
      <c r="F685" s="1" t="str">
        <f>TEXT(Table1[[#This Row],[Date]],"mmm")</f>
        <v>Feb</v>
      </c>
      <c r="G685" s="7">
        <v>5187</v>
      </c>
      <c r="H685">
        <v>142</v>
      </c>
    </row>
    <row r="686" spans="1:8" x14ac:dyDescent="0.25">
      <c r="A686" t="s">
        <v>23</v>
      </c>
      <c r="B686" t="s">
        <v>15</v>
      </c>
      <c r="C686" t="s">
        <v>39</v>
      </c>
      <c r="D686" s="2">
        <v>44690</v>
      </c>
      <c r="E686" s="1" t="str">
        <f>TEXT(Table1[[#This Row],[Date]],"ddd")</f>
        <v>Mon</v>
      </c>
      <c r="F686" s="1" t="str">
        <f>TEXT(Table1[[#This Row],[Date]],"mmm")</f>
        <v>May</v>
      </c>
      <c r="G686" s="7">
        <v>6223</v>
      </c>
      <c r="H686">
        <v>256</v>
      </c>
    </row>
    <row r="687" spans="1:8" x14ac:dyDescent="0.25">
      <c r="A687" t="s">
        <v>28</v>
      </c>
      <c r="B687" t="s">
        <v>21</v>
      </c>
      <c r="C687" t="s">
        <v>11</v>
      </c>
      <c r="D687" s="2">
        <v>44718</v>
      </c>
      <c r="E687" s="1" t="str">
        <f>TEXT(Table1[[#This Row],[Date]],"ddd")</f>
        <v>Mon</v>
      </c>
      <c r="F687" s="1" t="str">
        <f>TEXT(Table1[[#This Row],[Date]],"mmm")</f>
        <v>Jun</v>
      </c>
      <c r="G687" s="7">
        <v>7714</v>
      </c>
      <c r="H687">
        <v>106</v>
      </c>
    </row>
    <row r="688" spans="1:8" x14ac:dyDescent="0.25">
      <c r="A688" t="s">
        <v>46</v>
      </c>
      <c r="B688" t="s">
        <v>26</v>
      </c>
      <c r="C688" t="s">
        <v>52</v>
      </c>
      <c r="D688" s="2">
        <v>44718</v>
      </c>
      <c r="E688" s="1" t="str">
        <f>TEXT(Table1[[#This Row],[Date]],"ddd")</f>
        <v>Mon</v>
      </c>
      <c r="F688" s="1" t="str">
        <f>TEXT(Table1[[#This Row],[Date]],"mmm")</f>
        <v>Jun</v>
      </c>
      <c r="G688" s="7">
        <v>9457</v>
      </c>
      <c r="H688">
        <v>6</v>
      </c>
    </row>
    <row r="689" spans="1:8" x14ac:dyDescent="0.25">
      <c r="A689" t="s">
        <v>34</v>
      </c>
      <c r="B689" t="s">
        <v>21</v>
      </c>
      <c r="C689" t="s">
        <v>35</v>
      </c>
      <c r="D689" s="2">
        <v>44705</v>
      </c>
      <c r="E689" s="1" t="str">
        <f>TEXT(Table1[[#This Row],[Date]],"ddd")</f>
        <v>Tue</v>
      </c>
      <c r="F689" s="1" t="str">
        <f>TEXT(Table1[[#This Row],[Date]],"mmm")</f>
        <v>May</v>
      </c>
      <c r="G689" s="7">
        <v>6678</v>
      </c>
      <c r="H689">
        <v>226</v>
      </c>
    </row>
    <row r="690" spans="1:8" x14ac:dyDescent="0.25">
      <c r="A690" t="s">
        <v>19</v>
      </c>
      <c r="B690" t="s">
        <v>7</v>
      </c>
      <c r="C690" t="s">
        <v>22</v>
      </c>
      <c r="D690" s="2">
        <v>44574</v>
      </c>
      <c r="E690" s="1" t="str">
        <f>TEXT(Table1[[#This Row],[Date]],"ddd")</f>
        <v>Thu</v>
      </c>
      <c r="F690" s="1" t="str">
        <f>TEXT(Table1[[#This Row],[Date]],"mmm")</f>
        <v>Jan</v>
      </c>
      <c r="G690" s="7">
        <v>2107</v>
      </c>
      <c r="H690">
        <v>121</v>
      </c>
    </row>
    <row r="691" spans="1:8" x14ac:dyDescent="0.25">
      <c r="A691" t="s">
        <v>33</v>
      </c>
      <c r="B691" t="s">
        <v>26</v>
      </c>
      <c r="C691" t="s">
        <v>51</v>
      </c>
      <c r="D691" s="2">
        <v>44704</v>
      </c>
      <c r="E691" s="1" t="str">
        <f>TEXT(Table1[[#This Row],[Date]],"ddd")</f>
        <v>Mon</v>
      </c>
      <c r="F691" s="1" t="str">
        <f>TEXT(Table1[[#This Row],[Date]],"mmm")</f>
        <v>May</v>
      </c>
      <c r="G691" s="7">
        <v>6069</v>
      </c>
      <c r="H691">
        <v>151</v>
      </c>
    </row>
    <row r="692" spans="1:8" x14ac:dyDescent="0.25">
      <c r="A692" t="s">
        <v>6</v>
      </c>
      <c r="B692" t="s">
        <v>7</v>
      </c>
      <c r="C692" t="s">
        <v>44</v>
      </c>
      <c r="D692" s="2">
        <v>44741</v>
      </c>
      <c r="E692" s="1" t="str">
        <f>TEXT(Table1[[#This Row],[Date]],"ddd")</f>
        <v>Wed</v>
      </c>
      <c r="F692" s="1" t="str">
        <f>TEXT(Table1[[#This Row],[Date]],"mmm")</f>
        <v>Jun</v>
      </c>
      <c r="G692" s="7">
        <v>1862</v>
      </c>
      <c r="H692">
        <v>284</v>
      </c>
    </row>
    <row r="693" spans="1:8" x14ac:dyDescent="0.25">
      <c r="A693" t="s">
        <v>6</v>
      </c>
      <c r="B693" t="s">
        <v>21</v>
      </c>
      <c r="C693" t="s">
        <v>11</v>
      </c>
      <c r="D693" s="2">
        <v>44631</v>
      </c>
      <c r="E693" s="1" t="str">
        <f>TEXT(Table1[[#This Row],[Date]],"ddd")</f>
        <v>Fri</v>
      </c>
      <c r="F693" s="1" t="str">
        <f>TEXT(Table1[[#This Row],[Date]],"mmm")</f>
        <v>Mar</v>
      </c>
      <c r="G693" s="7">
        <v>6972</v>
      </c>
      <c r="H693">
        <v>89</v>
      </c>
    </row>
    <row r="694" spans="1:8" x14ac:dyDescent="0.25">
      <c r="A694" t="s">
        <v>54</v>
      </c>
      <c r="B694" t="s">
        <v>26</v>
      </c>
      <c r="C694" t="s">
        <v>11</v>
      </c>
      <c r="D694" s="2">
        <v>44676</v>
      </c>
      <c r="E694" s="1" t="str">
        <f>TEXT(Table1[[#This Row],[Date]],"ddd")</f>
        <v>Mon</v>
      </c>
      <c r="F694" s="1" t="str">
        <f>TEXT(Table1[[#This Row],[Date]],"mmm")</f>
        <v>Apr</v>
      </c>
      <c r="G694" s="7">
        <v>10220</v>
      </c>
      <c r="H694">
        <v>508</v>
      </c>
    </row>
    <row r="695" spans="1:8" x14ac:dyDescent="0.25">
      <c r="A695" t="s">
        <v>24</v>
      </c>
      <c r="B695" t="s">
        <v>15</v>
      </c>
      <c r="C695" t="s">
        <v>16</v>
      </c>
      <c r="D695" s="2">
        <v>44711</v>
      </c>
      <c r="E695" s="1" t="str">
        <f>TEXT(Table1[[#This Row],[Date]],"ddd")</f>
        <v>Mon</v>
      </c>
      <c r="F695" s="1" t="str">
        <f>TEXT(Table1[[#This Row],[Date]],"mmm")</f>
        <v>May</v>
      </c>
      <c r="G695" s="7">
        <v>3969</v>
      </c>
      <c r="H695">
        <v>243</v>
      </c>
    </row>
    <row r="696" spans="1:8" x14ac:dyDescent="0.25">
      <c r="A696" t="s">
        <v>38</v>
      </c>
      <c r="B696" t="s">
        <v>10</v>
      </c>
      <c r="C696" t="s">
        <v>45</v>
      </c>
      <c r="D696" s="2">
        <v>44704</v>
      </c>
      <c r="E696" s="1" t="str">
        <f>TEXT(Table1[[#This Row],[Date]],"ddd")</f>
        <v>Mon</v>
      </c>
      <c r="F696" s="1" t="str">
        <f>TEXT(Table1[[#This Row],[Date]],"mmm")</f>
        <v>May</v>
      </c>
      <c r="G696" s="7">
        <v>1547</v>
      </c>
      <c r="H696">
        <v>170</v>
      </c>
    </row>
    <row r="697" spans="1:8" x14ac:dyDescent="0.25">
      <c r="A697" t="s">
        <v>28</v>
      </c>
      <c r="B697" t="s">
        <v>26</v>
      </c>
      <c r="C697" t="s">
        <v>13</v>
      </c>
      <c r="D697" s="2">
        <v>44704</v>
      </c>
      <c r="E697" s="1" t="str">
        <f>TEXT(Table1[[#This Row],[Date]],"ddd")</f>
        <v>Mon</v>
      </c>
      <c r="F697" s="1" t="str">
        <f>TEXT(Table1[[#This Row],[Date]],"mmm")</f>
        <v>May</v>
      </c>
      <c r="G697" s="7">
        <v>1162</v>
      </c>
      <c r="H697">
        <v>18</v>
      </c>
    </row>
    <row r="698" spans="1:8" x14ac:dyDescent="0.25">
      <c r="A698" t="s">
        <v>9</v>
      </c>
      <c r="B698" t="s">
        <v>29</v>
      </c>
      <c r="C698" t="s">
        <v>13</v>
      </c>
      <c r="D698" s="2">
        <v>44736</v>
      </c>
      <c r="E698" s="1" t="str">
        <f>TEXT(Table1[[#This Row],[Date]],"ddd")</f>
        <v>Fri</v>
      </c>
      <c r="F698" s="1" t="str">
        <f>TEXT(Table1[[#This Row],[Date]],"mmm")</f>
        <v>Jun</v>
      </c>
      <c r="G698" s="7">
        <v>6342</v>
      </c>
      <c r="H698">
        <v>282</v>
      </c>
    </row>
    <row r="699" spans="1:8" x14ac:dyDescent="0.25">
      <c r="A699" t="s">
        <v>49</v>
      </c>
      <c r="B699" t="s">
        <v>21</v>
      </c>
      <c r="C699" t="s">
        <v>16</v>
      </c>
      <c r="D699" s="2">
        <v>44631</v>
      </c>
      <c r="E699" s="1" t="str">
        <f>TEXT(Table1[[#This Row],[Date]],"ddd")</f>
        <v>Fri</v>
      </c>
      <c r="F699" s="1" t="str">
        <f>TEXT(Table1[[#This Row],[Date]],"mmm")</f>
        <v>Mar</v>
      </c>
      <c r="G699" s="7">
        <v>10633</v>
      </c>
      <c r="H699">
        <v>277</v>
      </c>
    </row>
    <row r="700" spans="1:8" x14ac:dyDescent="0.25">
      <c r="A700" t="s">
        <v>24</v>
      </c>
      <c r="B700" t="s">
        <v>26</v>
      </c>
      <c r="C700" t="s">
        <v>16</v>
      </c>
      <c r="D700" s="2">
        <v>44769</v>
      </c>
      <c r="E700" s="1" t="str">
        <f>TEXT(Table1[[#This Row],[Date]],"ddd")</f>
        <v>Wed</v>
      </c>
      <c r="F700" s="1" t="str">
        <f>TEXT(Table1[[#This Row],[Date]],"mmm")</f>
        <v>Jul</v>
      </c>
      <c r="G700" s="7">
        <v>15057</v>
      </c>
      <c r="H700">
        <v>212</v>
      </c>
    </row>
    <row r="701" spans="1:8" x14ac:dyDescent="0.25">
      <c r="A701" t="s">
        <v>24</v>
      </c>
      <c r="B701" t="s">
        <v>26</v>
      </c>
      <c r="C701" t="s">
        <v>44</v>
      </c>
      <c r="D701" s="2">
        <v>44789</v>
      </c>
      <c r="E701" s="1" t="str">
        <f>TEXT(Table1[[#This Row],[Date]],"ddd")</f>
        <v>Tue</v>
      </c>
      <c r="F701" s="1" t="str">
        <f>TEXT(Table1[[#This Row],[Date]],"mmm")</f>
        <v>Aug</v>
      </c>
      <c r="G701" s="7">
        <v>4704</v>
      </c>
      <c r="H701">
        <v>126</v>
      </c>
    </row>
    <row r="702" spans="1:8" x14ac:dyDescent="0.25">
      <c r="A702" t="s">
        <v>36</v>
      </c>
      <c r="B702" t="s">
        <v>29</v>
      </c>
      <c r="C702" t="s">
        <v>16</v>
      </c>
      <c r="D702" s="2">
        <v>44627</v>
      </c>
      <c r="E702" s="1" t="str">
        <f>TEXT(Table1[[#This Row],[Date]],"ddd")</f>
        <v>Mon</v>
      </c>
      <c r="F702" s="1" t="str">
        <f>TEXT(Table1[[#This Row],[Date]],"mmm")</f>
        <v>Mar</v>
      </c>
      <c r="G702" s="7">
        <v>9338</v>
      </c>
      <c r="H702">
        <v>11</v>
      </c>
    </row>
    <row r="703" spans="1:8" x14ac:dyDescent="0.25">
      <c r="A703" t="s">
        <v>38</v>
      </c>
      <c r="B703" t="s">
        <v>21</v>
      </c>
      <c r="C703" t="s">
        <v>20</v>
      </c>
      <c r="D703" s="2">
        <v>44656</v>
      </c>
      <c r="E703" s="1" t="str">
        <f>TEXT(Table1[[#This Row],[Date]],"ddd")</f>
        <v>Tue</v>
      </c>
      <c r="F703" s="1" t="str">
        <f>TEXT(Table1[[#This Row],[Date]],"mmm")</f>
        <v>Apr</v>
      </c>
      <c r="G703" s="7">
        <v>7959</v>
      </c>
      <c r="H703">
        <v>30</v>
      </c>
    </row>
    <row r="704" spans="1:8" x14ac:dyDescent="0.25">
      <c r="A704" t="s">
        <v>50</v>
      </c>
      <c r="B704" t="s">
        <v>10</v>
      </c>
      <c r="C704" t="s">
        <v>11</v>
      </c>
      <c r="D704" s="2">
        <v>44685</v>
      </c>
      <c r="E704" s="1" t="str">
        <f>TEXT(Table1[[#This Row],[Date]],"ddd")</f>
        <v>Wed</v>
      </c>
      <c r="F704" s="1" t="str">
        <f>TEXT(Table1[[#This Row],[Date]],"mmm")</f>
        <v>May</v>
      </c>
      <c r="G704" s="7">
        <v>9023</v>
      </c>
      <c r="H704">
        <v>51</v>
      </c>
    </row>
    <row r="705" spans="1:8" x14ac:dyDescent="0.25">
      <c r="A705" t="s">
        <v>55</v>
      </c>
      <c r="B705" t="s">
        <v>26</v>
      </c>
      <c r="C705" t="s">
        <v>52</v>
      </c>
      <c r="D705" s="2">
        <v>44565</v>
      </c>
      <c r="E705" s="1" t="str">
        <f>TEXT(Table1[[#This Row],[Date]],"ddd")</f>
        <v>Tue</v>
      </c>
      <c r="F705" s="1" t="str">
        <f>TEXT(Table1[[#This Row],[Date]],"mmm")</f>
        <v>Jan</v>
      </c>
      <c r="G705" s="7">
        <v>14525</v>
      </c>
      <c r="H705">
        <v>92</v>
      </c>
    </row>
    <row r="706" spans="1:8" x14ac:dyDescent="0.25">
      <c r="A706" t="s">
        <v>33</v>
      </c>
      <c r="B706" t="s">
        <v>15</v>
      </c>
      <c r="C706" t="s">
        <v>56</v>
      </c>
      <c r="D706" s="2">
        <v>44574</v>
      </c>
      <c r="E706" s="1" t="str">
        <f>TEXT(Table1[[#This Row],[Date]],"ddd")</f>
        <v>Thu</v>
      </c>
      <c r="F706" s="1" t="str">
        <f>TEXT(Table1[[#This Row],[Date]],"mmm")</f>
        <v>Jan</v>
      </c>
      <c r="G706" s="7">
        <v>5810</v>
      </c>
      <c r="H706">
        <v>101</v>
      </c>
    </row>
    <row r="707" spans="1:8" x14ac:dyDescent="0.25">
      <c r="A707" t="s">
        <v>46</v>
      </c>
      <c r="B707" t="s">
        <v>21</v>
      </c>
      <c r="C707" t="s">
        <v>42</v>
      </c>
      <c r="D707" s="2">
        <v>44753</v>
      </c>
      <c r="E707" s="1" t="str">
        <f>TEXT(Table1[[#This Row],[Date]],"ddd")</f>
        <v>Mon</v>
      </c>
      <c r="F707" s="1" t="str">
        <f>TEXT(Table1[[#This Row],[Date]],"mmm")</f>
        <v>Jul</v>
      </c>
      <c r="G707" s="7">
        <v>6426</v>
      </c>
      <c r="H707">
        <v>98</v>
      </c>
    </row>
    <row r="708" spans="1:8" x14ac:dyDescent="0.25">
      <c r="A708" t="s">
        <v>41</v>
      </c>
      <c r="B708" t="s">
        <v>15</v>
      </c>
      <c r="C708" t="s">
        <v>8</v>
      </c>
      <c r="D708" s="2">
        <v>44698</v>
      </c>
      <c r="E708" s="1" t="str">
        <f>TEXT(Table1[[#This Row],[Date]],"ddd")</f>
        <v>Tue</v>
      </c>
      <c r="F708" s="1" t="str">
        <f>TEXT(Table1[[#This Row],[Date]],"mmm")</f>
        <v>May</v>
      </c>
      <c r="G708" s="7">
        <v>4403</v>
      </c>
      <c r="H708">
        <v>159</v>
      </c>
    </row>
    <row r="709" spans="1:8" x14ac:dyDescent="0.25">
      <c r="A709" t="s">
        <v>50</v>
      </c>
      <c r="B709" t="s">
        <v>21</v>
      </c>
      <c r="C709" t="s">
        <v>13</v>
      </c>
      <c r="D709" s="2">
        <v>44763</v>
      </c>
      <c r="E709" s="1" t="str">
        <f>TEXT(Table1[[#This Row],[Date]],"ddd")</f>
        <v>Thu</v>
      </c>
      <c r="F709" s="1" t="str">
        <f>TEXT(Table1[[#This Row],[Date]],"mmm")</f>
        <v>Jul</v>
      </c>
      <c r="G709" s="7">
        <v>1582</v>
      </c>
      <c r="H709">
        <v>62</v>
      </c>
    </row>
    <row r="710" spans="1:8" x14ac:dyDescent="0.25">
      <c r="A710" t="s">
        <v>38</v>
      </c>
      <c r="B710" t="s">
        <v>29</v>
      </c>
      <c r="C710" t="s">
        <v>35</v>
      </c>
      <c r="D710" s="2">
        <v>44614</v>
      </c>
      <c r="E710" s="1" t="str">
        <f>TEXT(Table1[[#This Row],[Date]],"ddd")</f>
        <v>Tue</v>
      </c>
      <c r="F710" s="1" t="str">
        <f>TEXT(Table1[[#This Row],[Date]],"mmm")</f>
        <v>Feb</v>
      </c>
      <c r="G710" s="7">
        <v>791</v>
      </c>
      <c r="H710">
        <v>22</v>
      </c>
    </row>
    <row r="711" spans="1:8" x14ac:dyDescent="0.25">
      <c r="A711" t="s">
        <v>14</v>
      </c>
      <c r="B711" t="s">
        <v>10</v>
      </c>
      <c r="C711" t="s">
        <v>18</v>
      </c>
      <c r="D711" s="2">
        <v>44704</v>
      </c>
      <c r="E711" s="1" t="str">
        <f>TEXT(Table1[[#This Row],[Date]],"ddd")</f>
        <v>Mon</v>
      </c>
      <c r="F711" s="1" t="str">
        <f>TEXT(Table1[[#This Row],[Date]],"mmm")</f>
        <v>May</v>
      </c>
      <c r="G711" s="7">
        <v>9100</v>
      </c>
      <c r="H711">
        <v>187</v>
      </c>
    </row>
    <row r="712" spans="1:8" x14ac:dyDescent="0.25">
      <c r="A712" t="s">
        <v>24</v>
      </c>
      <c r="B712" t="s">
        <v>29</v>
      </c>
      <c r="C712" t="s">
        <v>32</v>
      </c>
      <c r="D712" s="2">
        <v>44754</v>
      </c>
      <c r="E712" s="1" t="str">
        <f>TEXT(Table1[[#This Row],[Date]],"ddd")</f>
        <v>Tue</v>
      </c>
      <c r="F712" s="1" t="str">
        <f>TEXT(Table1[[#This Row],[Date]],"mmm")</f>
        <v>Jul</v>
      </c>
      <c r="G712" s="7">
        <v>9884</v>
      </c>
      <c r="H712">
        <v>200</v>
      </c>
    </row>
    <row r="713" spans="1:8" x14ac:dyDescent="0.25">
      <c r="A713" t="s">
        <v>14</v>
      </c>
      <c r="B713" t="s">
        <v>7</v>
      </c>
      <c r="C713" t="s">
        <v>27</v>
      </c>
      <c r="D713" s="2">
        <v>44727</v>
      </c>
      <c r="E713" s="1" t="str">
        <f>TEXT(Table1[[#This Row],[Date]],"ddd")</f>
        <v>Wed</v>
      </c>
      <c r="F713" s="1" t="str">
        <f>TEXT(Table1[[#This Row],[Date]],"mmm")</f>
        <v>Jun</v>
      </c>
      <c r="G713" s="7">
        <v>3780</v>
      </c>
      <c r="H713">
        <v>201</v>
      </c>
    </row>
    <row r="714" spans="1:8" x14ac:dyDescent="0.25">
      <c r="A714" t="s">
        <v>25</v>
      </c>
      <c r="B714" t="s">
        <v>21</v>
      </c>
      <c r="C714" t="s">
        <v>22</v>
      </c>
      <c r="D714" s="2">
        <v>44735</v>
      </c>
      <c r="E714" s="1" t="str">
        <f>TEXT(Table1[[#This Row],[Date]],"ddd")</f>
        <v>Thu</v>
      </c>
      <c r="F714" s="1" t="str">
        <f>TEXT(Table1[[#This Row],[Date]],"mmm")</f>
        <v>Jun</v>
      </c>
      <c r="G714" s="7">
        <v>4557</v>
      </c>
      <c r="H714">
        <v>308</v>
      </c>
    </row>
    <row r="715" spans="1:8" x14ac:dyDescent="0.25">
      <c r="A715" t="s">
        <v>38</v>
      </c>
      <c r="B715" t="s">
        <v>15</v>
      </c>
      <c r="C715" t="s">
        <v>30</v>
      </c>
      <c r="D715" s="2">
        <v>44645</v>
      </c>
      <c r="E715" s="1" t="str">
        <f>TEXT(Table1[[#This Row],[Date]],"ddd")</f>
        <v>Fri</v>
      </c>
      <c r="F715" s="1" t="str">
        <f>TEXT(Table1[[#This Row],[Date]],"mmm")</f>
        <v>Mar</v>
      </c>
      <c r="G715" s="7">
        <v>5796</v>
      </c>
      <c r="H715">
        <v>55</v>
      </c>
    </row>
    <row r="716" spans="1:8" x14ac:dyDescent="0.25">
      <c r="A716" t="s">
        <v>14</v>
      </c>
      <c r="B716" t="s">
        <v>10</v>
      </c>
      <c r="C716" t="s">
        <v>57</v>
      </c>
      <c r="D716" s="2">
        <v>44746</v>
      </c>
      <c r="E716" s="1" t="str">
        <f>TEXT(Table1[[#This Row],[Date]],"ddd")</f>
        <v>Mon</v>
      </c>
      <c r="F716" s="1" t="str">
        <f>TEXT(Table1[[#This Row],[Date]],"mmm")</f>
        <v>Jul</v>
      </c>
      <c r="G716" s="7">
        <v>84</v>
      </c>
      <c r="H716">
        <v>153</v>
      </c>
    </row>
    <row r="717" spans="1:8" x14ac:dyDescent="0.25">
      <c r="A717" t="s">
        <v>48</v>
      </c>
      <c r="B717" t="s">
        <v>7</v>
      </c>
      <c r="C717" t="s">
        <v>44</v>
      </c>
      <c r="D717" s="2">
        <v>44693</v>
      </c>
      <c r="E717" s="1" t="str">
        <f>TEXT(Table1[[#This Row],[Date]],"ddd")</f>
        <v>Thu</v>
      </c>
      <c r="F717" s="1" t="str">
        <f>TEXT(Table1[[#This Row],[Date]],"mmm")</f>
        <v>May</v>
      </c>
      <c r="G717" s="7">
        <v>9037</v>
      </c>
      <c r="H717">
        <v>101</v>
      </c>
    </row>
    <row r="718" spans="1:8" x14ac:dyDescent="0.25">
      <c r="A718" t="s">
        <v>50</v>
      </c>
      <c r="B718" t="s">
        <v>21</v>
      </c>
      <c r="C718" t="s">
        <v>51</v>
      </c>
      <c r="D718" s="2">
        <v>44655</v>
      </c>
      <c r="E718" s="1" t="str">
        <f>TEXT(Table1[[#This Row],[Date]],"ddd")</f>
        <v>Mon</v>
      </c>
      <c r="F718" s="1" t="str">
        <f>TEXT(Table1[[#This Row],[Date]],"mmm")</f>
        <v>Apr</v>
      </c>
      <c r="G718" s="7">
        <v>4746</v>
      </c>
      <c r="H718">
        <v>137</v>
      </c>
    </row>
    <row r="719" spans="1:8" x14ac:dyDescent="0.25">
      <c r="A719" t="s">
        <v>53</v>
      </c>
      <c r="B719" t="s">
        <v>15</v>
      </c>
      <c r="C719" t="s">
        <v>27</v>
      </c>
      <c r="D719" s="2">
        <v>44666</v>
      </c>
      <c r="E719" s="1" t="str">
        <f>TEXT(Table1[[#This Row],[Date]],"ddd")</f>
        <v>Fri</v>
      </c>
      <c r="F719" s="1" t="str">
        <f>TEXT(Table1[[#This Row],[Date]],"mmm")</f>
        <v>Apr</v>
      </c>
      <c r="G719" s="7">
        <v>6713</v>
      </c>
      <c r="H719">
        <v>398</v>
      </c>
    </row>
    <row r="720" spans="1:8" x14ac:dyDescent="0.25">
      <c r="A720" t="s">
        <v>36</v>
      </c>
      <c r="B720" t="s">
        <v>29</v>
      </c>
      <c r="C720" t="s">
        <v>30</v>
      </c>
      <c r="D720" s="2">
        <v>44628</v>
      </c>
      <c r="E720" s="1" t="str">
        <f>TEXT(Table1[[#This Row],[Date]],"ddd")</f>
        <v>Tue</v>
      </c>
      <c r="F720" s="1" t="str">
        <f>TEXT(Table1[[#This Row],[Date]],"mmm")</f>
        <v>Mar</v>
      </c>
      <c r="G720" s="7">
        <v>6237</v>
      </c>
      <c r="H720">
        <v>88</v>
      </c>
    </row>
    <row r="721" spans="1:8" x14ac:dyDescent="0.25">
      <c r="A721" t="s">
        <v>31</v>
      </c>
      <c r="B721" t="s">
        <v>10</v>
      </c>
      <c r="C721" t="s">
        <v>44</v>
      </c>
      <c r="D721" s="2">
        <v>44578</v>
      </c>
      <c r="E721" s="1" t="str">
        <f>TEXT(Table1[[#This Row],[Date]],"ddd")</f>
        <v>Mon</v>
      </c>
      <c r="F721" s="1" t="str">
        <f>TEXT(Table1[[#This Row],[Date]],"mmm")</f>
        <v>Jan</v>
      </c>
      <c r="G721" s="7">
        <v>7483</v>
      </c>
      <c r="H721">
        <v>232</v>
      </c>
    </row>
    <row r="722" spans="1:8" x14ac:dyDescent="0.25">
      <c r="A722" t="s">
        <v>46</v>
      </c>
      <c r="B722" t="s">
        <v>10</v>
      </c>
      <c r="C722" t="s">
        <v>8</v>
      </c>
      <c r="D722" s="2">
        <v>44795</v>
      </c>
      <c r="E722" s="1" t="str">
        <f>TEXT(Table1[[#This Row],[Date]],"ddd")</f>
        <v>Mon</v>
      </c>
      <c r="F722" s="1" t="str">
        <f>TEXT(Table1[[#This Row],[Date]],"mmm")</f>
        <v>Aug</v>
      </c>
      <c r="G722" s="7">
        <v>1309</v>
      </c>
      <c r="H722">
        <v>51</v>
      </c>
    </row>
    <row r="723" spans="1:8" x14ac:dyDescent="0.25">
      <c r="A723" t="s">
        <v>48</v>
      </c>
      <c r="B723" t="s">
        <v>7</v>
      </c>
      <c r="C723" t="s">
        <v>18</v>
      </c>
      <c r="D723" s="2">
        <v>44767</v>
      </c>
      <c r="E723" s="1" t="str">
        <f>TEXT(Table1[[#This Row],[Date]],"ddd")</f>
        <v>Mon</v>
      </c>
      <c r="F723" s="1" t="str">
        <f>TEXT(Table1[[#This Row],[Date]],"mmm")</f>
        <v>Jul</v>
      </c>
      <c r="G723" s="7">
        <v>1155</v>
      </c>
      <c r="H723">
        <v>66</v>
      </c>
    </row>
    <row r="724" spans="1:8" x14ac:dyDescent="0.25">
      <c r="A724" t="s">
        <v>33</v>
      </c>
      <c r="B724" t="s">
        <v>7</v>
      </c>
      <c r="C724" t="s">
        <v>22</v>
      </c>
      <c r="D724" s="2">
        <v>44726</v>
      </c>
      <c r="E724" s="1" t="str">
        <f>TEXT(Table1[[#This Row],[Date]],"ddd")</f>
        <v>Tue</v>
      </c>
      <c r="F724" s="1" t="str">
        <f>TEXT(Table1[[#This Row],[Date]],"mmm")</f>
        <v>Jun</v>
      </c>
      <c r="G724" s="7">
        <v>2989</v>
      </c>
      <c r="H724">
        <v>124</v>
      </c>
    </row>
    <row r="725" spans="1:8" x14ac:dyDescent="0.25">
      <c r="A725" t="s">
        <v>55</v>
      </c>
      <c r="B725" t="s">
        <v>10</v>
      </c>
      <c r="C725" t="s">
        <v>52</v>
      </c>
      <c r="D725" s="2">
        <v>44656</v>
      </c>
      <c r="E725" s="1" t="str">
        <f>TEXT(Table1[[#This Row],[Date]],"ddd")</f>
        <v>Tue</v>
      </c>
      <c r="F725" s="1" t="str">
        <f>TEXT(Table1[[#This Row],[Date]],"mmm")</f>
        <v>Apr</v>
      </c>
      <c r="G725" s="7">
        <v>9625</v>
      </c>
      <c r="H725">
        <v>78</v>
      </c>
    </row>
    <row r="726" spans="1:8" x14ac:dyDescent="0.25">
      <c r="A726" t="s">
        <v>53</v>
      </c>
      <c r="B726" t="s">
        <v>7</v>
      </c>
      <c r="C726" t="s">
        <v>51</v>
      </c>
      <c r="D726" s="2">
        <v>44799</v>
      </c>
      <c r="E726" s="1" t="str">
        <f>TEXT(Table1[[#This Row],[Date]],"ddd")</f>
        <v>Fri</v>
      </c>
      <c r="F726" s="1" t="str">
        <f>TEXT(Table1[[#This Row],[Date]],"mmm")</f>
        <v>Aug</v>
      </c>
      <c r="G726" s="7">
        <v>7357</v>
      </c>
      <c r="H726">
        <v>341</v>
      </c>
    </row>
    <row r="727" spans="1:8" x14ac:dyDescent="0.25">
      <c r="A727" t="s">
        <v>46</v>
      </c>
      <c r="B727" t="s">
        <v>15</v>
      </c>
      <c r="C727" t="s">
        <v>22</v>
      </c>
      <c r="D727" s="2">
        <v>44776</v>
      </c>
      <c r="E727" s="1" t="str">
        <f>TEXT(Table1[[#This Row],[Date]],"ddd")</f>
        <v>Wed</v>
      </c>
      <c r="F727" s="1" t="str">
        <f>TEXT(Table1[[#This Row],[Date]],"mmm")</f>
        <v>Aug</v>
      </c>
      <c r="G727" s="7">
        <v>10031</v>
      </c>
      <c r="H727">
        <v>114</v>
      </c>
    </row>
    <row r="728" spans="1:8" x14ac:dyDescent="0.25">
      <c r="A728" t="s">
        <v>12</v>
      </c>
      <c r="B728" t="s">
        <v>29</v>
      </c>
      <c r="C728" t="s">
        <v>44</v>
      </c>
      <c r="D728" s="2">
        <v>44753</v>
      </c>
      <c r="E728" s="1" t="str">
        <f>TEXT(Table1[[#This Row],[Date]],"ddd")</f>
        <v>Mon</v>
      </c>
      <c r="F728" s="1" t="str">
        <f>TEXT(Table1[[#This Row],[Date]],"mmm")</f>
        <v>Jul</v>
      </c>
      <c r="G728" s="7">
        <v>6587</v>
      </c>
      <c r="H728">
        <v>4</v>
      </c>
    </row>
    <row r="729" spans="1:8" x14ac:dyDescent="0.25">
      <c r="A729" t="s">
        <v>46</v>
      </c>
      <c r="B729" t="s">
        <v>21</v>
      </c>
      <c r="C729" t="s">
        <v>30</v>
      </c>
      <c r="D729" s="2">
        <v>44631</v>
      </c>
      <c r="E729" s="1" t="str">
        <f>TEXT(Table1[[#This Row],[Date]],"ddd")</f>
        <v>Fri</v>
      </c>
      <c r="F729" s="1" t="str">
        <f>TEXT(Table1[[#This Row],[Date]],"mmm")</f>
        <v>Mar</v>
      </c>
      <c r="G729" s="7">
        <v>3311</v>
      </c>
      <c r="H729">
        <v>22</v>
      </c>
    </row>
    <row r="730" spans="1:8" x14ac:dyDescent="0.25">
      <c r="A730" t="s">
        <v>23</v>
      </c>
      <c r="B730" t="s">
        <v>7</v>
      </c>
      <c r="C730" t="s">
        <v>13</v>
      </c>
      <c r="D730" s="2">
        <v>44571</v>
      </c>
      <c r="E730" s="1" t="str">
        <f>TEXT(Table1[[#This Row],[Date]],"ddd")</f>
        <v>Mon</v>
      </c>
      <c r="F730" s="1" t="str">
        <f>TEXT(Table1[[#This Row],[Date]],"mmm")</f>
        <v>Jan</v>
      </c>
      <c r="G730" s="7">
        <v>15330</v>
      </c>
      <c r="H730">
        <v>30</v>
      </c>
    </row>
    <row r="731" spans="1:8" x14ac:dyDescent="0.25">
      <c r="A731" t="s">
        <v>36</v>
      </c>
      <c r="B731" t="s">
        <v>7</v>
      </c>
      <c r="C731" t="s">
        <v>56</v>
      </c>
      <c r="D731" s="2">
        <v>44655</v>
      </c>
      <c r="E731" s="1" t="str">
        <f>TEXT(Table1[[#This Row],[Date]],"ddd")</f>
        <v>Mon</v>
      </c>
      <c r="F731" s="1" t="str">
        <f>TEXT(Table1[[#This Row],[Date]],"mmm")</f>
        <v>Apr</v>
      </c>
      <c r="G731" s="7">
        <v>14028</v>
      </c>
      <c r="H731">
        <v>351</v>
      </c>
    </row>
    <row r="732" spans="1:8" x14ac:dyDescent="0.25">
      <c r="A732" t="s">
        <v>31</v>
      </c>
      <c r="B732" t="s">
        <v>15</v>
      </c>
      <c r="C732" t="s">
        <v>22</v>
      </c>
      <c r="D732" s="2">
        <v>44578</v>
      </c>
      <c r="E732" s="1" t="str">
        <f>TEXT(Table1[[#This Row],[Date]],"ddd")</f>
        <v>Mon</v>
      </c>
      <c r="F732" s="1" t="str">
        <f>TEXT(Table1[[#This Row],[Date]],"mmm")</f>
        <v>Jan</v>
      </c>
      <c r="G732" s="7">
        <v>6678</v>
      </c>
      <c r="H732">
        <v>708</v>
      </c>
    </row>
    <row r="733" spans="1:8" x14ac:dyDescent="0.25">
      <c r="A733" t="s">
        <v>33</v>
      </c>
      <c r="B733" t="s">
        <v>21</v>
      </c>
      <c r="C733" t="s">
        <v>35</v>
      </c>
      <c r="D733" s="2">
        <v>44750</v>
      </c>
      <c r="E733" s="1" t="str">
        <f>TEXT(Table1[[#This Row],[Date]],"ddd")</f>
        <v>Fri</v>
      </c>
      <c r="F733" s="1" t="str">
        <f>TEXT(Table1[[#This Row],[Date]],"mmm")</f>
        <v>Jul</v>
      </c>
      <c r="G733" s="7">
        <v>8624</v>
      </c>
      <c r="H733">
        <v>50</v>
      </c>
    </row>
    <row r="734" spans="1:8" x14ac:dyDescent="0.25">
      <c r="A734" t="s">
        <v>14</v>
      </c>
      <c r="B734" t="s">
        <v>7</v>
      </c>
      <c r="C734" t="s">
        <v>35</v>
      </c>
      <c r="D734" s="2">
        <v>44663</v>
      </c>
      <c r="E734" s="1" t="str">
        <f>TEXT(Table1[[#This Row],[Date]],"ddd")</f>
        <v>Tue</v>
      </c>
      <c r="F734" s="1" t="str">
        <f>TEXT(Table1[[#This Row],[Date]],"mmm")</f>
        <v>Apr</v>
      </c>
      <c r="G734" s="7">
        <v>1197</v>
      </c>
      <c r="H734">
        <v>356</v>
      </c>
    </row>
    <row r="735" spans="1:8" x14ac:dyDescent="0.25">
      <c r="A735" t="s">
        <v>24</v>
      </c>
      <c r="B735" t="s">
        <v>29</v>
      </c>
      <c r="C735" t="s">
        <v>42</v>
      </c>
      <c r="D735" s="2">
        <v>44797</v>
      </c>
      <c r="E735" s="1" t="str">
        <f>TEXT(Table1[[#This Row],[Date]],"ddd")</f>
        <v>Wed</v>
      </c>
      <c r="F735" s="1" t="str">
        <f>TEXT(Table1[[#This Row],[Date]],"mmm")</f>
        <v>Aug</v>
      </c>
      <c r="G735" s="7">
        <v>483</v>
      </c>
      <c r="H735">
        <v>185</v>
      </c>
    </row>
    <row r="736" spans="1:8" x14ac:dyDescent="0.25">
      <c r="A736" t="s">
        <v>55</v>
      </c>
      <c r="B736" t="s">
        <v>7</v>
      </c>
      <c r="C736" t="s">
        <v>52</v>
      </c>
      <c r="D736" s="2">
        <v>44719</v>
      </c>
      <c r="E736" s="1" t="str">
        <f>TEXT(Table1[[#This Row],[Date]],"ddd")</f>
        <v>Tue</v>
      </c>
      <c r="F736" s="1" t="str">
        <f>TEXT(Table1[[#This Row],[Date]],"mmm")</f>
        <v>Jun</v>
      </c>
      <c r="G736" s="7">
        <v>1687</v>
      </c>
      <c r="H736">
        <v>236</v>
      </c>
    </row>
    <row r="737" spans="1:8" x14ac:dyDescent="0.25">
      <c r="A737" t="s">
        <v>19</v>
      </c>
      <c r="B737" t="s">
        <v>29</v>
      </c>
      <c r="C737" t="s">
        <v>47</v>
      </c>
      <c r="D737" s="2">
        <v>44770</v>
      </c>
      <c r="E737" s="1" t="str">
        <f>TEXT(Table1[[#This Row],[Date]],"ddd")</f>
        <v>Thu</v>
      </c>
      <c r="F737" s="1" t="str">
        <f>TEXT(Table1[[#This Row],[Date]],"mmm")</f>
        <v>Jul</v>
      </c>
      <c r="G737" s="7">
        <v>1309</v>
      </c>
      <c r="H737">
        <v>30</v>
      </c>
    </row>
    <row r="738" spans="1:8" x14ac:dyDescent="0.25">
      <c r="A738" t="s">
        <v>40</v>
      </c>
      <c r="B738" t="s">
        <v>26</v>
      </c>
      <c r="C738" t="s">
        <v>18</v>
      </c>
      <c r="D738" s="2">
        <v>44613</v>
      </c>
      <c r="E738" s="1" t="str">
        <f>TEXT(Table1[[#This Row],[Date]],"ddd")</f>
        <v>Mon</v>
      </c>
      <c r="F738" s="1" t="str">
        <f>TEXT(Table1[[#This Row],[Date]],"mmm")</f>
        <v>Feb</v>
      </c>
      <c r="G738" s="7">
        <v>9534</v>
      </c>
      <c r="H738">
        <v>111</v>
      </c>
    </row>
    <row r="739" spans="1:8" x14ac:dyDescent="0.25">
      <c r="A739" t="s">
        <v>43</v>
      </c>
      <c r="B739" t="s">
        <v>29</v>
      </c>
      <c r="C739" t="s">
        <v>8</v>
      </c>
      <c r="D739" s="2">
        <v>44659</v>
      </c>
      <c r="E739" s="1" t="str">
        <f>TEXT(Table1[[#This Row],[Date]],"ddd")</f>
        <v>Fri</v>
      </c>
      <c r="F739" s="1" t="str">
        <f>TEXT(Table1[[#This Row],[Date]],"mmm")</f>
        <v>Apr</v>
      </c>
      <c r="G739" s="7">
        <v>1694</v>
      </c>
      <c r="H739">
        <v>289</v>
      </c>
    </row>
    <row r="740" spans="1:8" x14ac:dyDescent="0.25">
      <c r="A740" t="s">
        <v>23</v>
      </c>
      <c r="B740" t="s">
        <v>7</v>
      </c>
      <c r="C740" t="s">
        <v>45</v>
      </c>
      <c r="D740" s="2">
        <v>44740</v>
      </c>
      <c r="E740" s="1" t="str">
        <f>TEXT(Table1[[#This Row],[Date]],"ddd")</f>
        <v>Tue</v>
      </c>
      <c r="F740" s="1" t="str">
        <f>TEXT(Table1[[#This Row],[Date]],"mmm")</f>
        <v>Jun</v>
      </c>
      <c r="G740" s="7">
        <v>70</v>
      </c>
      <c r="H740">
        <v>103</v>
      </c>
    </row>
    <row r="741" spans="1:8" x14ac:dyDescent="0.25">
      <c r="A741" t="s">
        <v>9</v>
      </c>
      <c r="B741" t="s">
        <v>7</v>
      </c>
      <c r="C741" t="s">
        <v>56</v>
      </c>
      <c r="D741" s="2">
        <v>44644</v>
      </c>
      <c r="E741" s="1" t="str">
        <f>TEXT(Table1[[#This Row],[Date]],"ddd")</f>
        <v>Thu</v>
      </c>
      <c r="F741" s="1" t="str">
        <f>TEXT(Table1[[#This Row],[Date]],"mmm")</f>
        <v>Mar</v>
      </c>
      <c r="G741" s="7">
        <v>2443</v>
      </c>
      <c r="H741">
        <v>20</v>
      </c>
    </row>
    <row r="742" spans="1:8" x14ac:dyDescent="0.25">
      <c r="A742" t="s">
        <v>25</v>
      </c>
      <c r="B742" t="s">
        <v>15</v>
      </c>
      <c r="C742" t="s">
        <v>57</v>
      </c>
      <c r="D742" s="2">
        <v>44771</v>
      </c>
      <c r="E742" s="1" t="str">
        <f>TEXT(Table1[[#This Row],[Date]],"ddd")</f>
        <v>Fri</v>
      </c>
      <c r="F742" s="1" t="str">
        <f>TEXT(Table1[[#This Row],[Date]],"mmm")</f>
        <v>Jul</v>
      </c>
      <c r="G742" s="7">
        <v>2933</v>
      </c>
      <c r="H742">
        <v>55</v>
      </c>
    </row>
    <row r="743" spans="1:8" x14ac:dyDescent="0.25">
      <c r="A743" t="s">
        <v>43</v>
      </c>
      <c r="B743" t="s">
        <v>26</v>
      </c>
      <c r="C743" t="s">
        <v>30</v>
      </c>
      <c r="D743" s="2">
        <v>44706</v>
      </c>
      <c r="E743" s="1" t="str">
        <f>TEXT(Table1[[#This Row],[Date]],"ddd")</f>
        <v>Wed</v>
      </c>
      <c r="F743" s="1" t="str">
        <f>TEXT(Table1[[#This Row],[Date]],"mmm")</f>
        <v>May</v>
      </c>
      <c r="G743" s="7">
        <v>2044</v>
      </c>
      <c r="H743">
        <v>90</v>
      </c>
    </row>
    <row r="744" spans="1:8" x14ac:dyDescent="0.25">
      <c r="A744" t="s">
        <v>12</v>
      </c>
      <c r="B744" t="s">
        <v>15</v>
      </c>
      <c r="C744" t="s">
        <v>51</v>
      </c>
      <c r="D744" s="2">
        <v>44650</v>
      </c>
      <c r="E744" s="1" t="str">
        <f>TEXT(Table1[[#This Row],[Date]],"ddd")</f>
        <v>Wed</v>
      </c>
      <c r="F744" s="1" t="str">
        <f>TEXT(Table1[[#This Row],[Date]],"mmm")</f>
        <v>Mar</v>
      </c>
      <c r="G744" s="7">
        <v>6524</v>
      </c>
      <c r="H744">
        <v>303</v>
      </c>
    </row>
    <row r="745" spans="1:8" x14ac:dyDescent="0.25">
      <c r="A745" t="s">
        <v>43</v>
      </c>
      <c r="B745" t="s">
        <v>26</v>
      </c>
      <c r="C745" t="s">
        <v>35</v>
      </c>
      <c r="D745" s="2">
        <v>44760</v>
      </c>
      <c r="E745" s="1" t="str">
        <f>TEXT(Table1[[#This Row],[Date]],"ddd")</f>
        <v>Mon</v>
      </c>
      <c r="F745" s="1" t="str">
        <f>TEXT(Table1[[#This Row],[Date]],"mmm")</f>
        <v>Jul</v>
      </c>
      <c r="G745" s="7">
        <v>12656</v>
      </c>
      <c r="H745">
        <v>126</v>
      </c>
    </row>
    <row r="746" spans="1:8" x14ac:dyDescent="0.25">
      <c r="A746" t="s">
        <v>34</v>
      </c>
      <c r="B746" t="s">
        <v>29</v>
      </c>
      <c r="C746" t="s">
        <v>27</v>
      </c>
      <c r="D746" s="2">
        <v>44691</v>
      </c>
      <c r="E746" s="1" t="str">
        <f>TEXT(Table1[[#This Row],[Date]],"ddd")</f>
        <v>Tue</v>
      </c>
      <c r="F746" s="1" t="str">
        <f>TEXT(Table1[[#This Row],[Date]],"mmm")</f>
        <v>May</v>
      </c>
      <c r="G746" s="7">
        <v>8722</v>
      </c>
      <c r="H746">
        <v>109</v>
      </c>
    </row>
    <row r="747" spans="1:8" x14ac:dyDescent="0.25">
      <c r="A747" t="s">
        <v>28</v>
      </c>
      <c r="B747" t="s">
        <v>15</v>
      </c>
      <c r="C747" t="s">
        <v>52</v>
      </c>
      <c r="D747" s="2">
        <v>44638</v>
      </c>
      <c r="E747" s="1" t="str">
        <f>TEXT(Table1[[#This Row],[Date]],"ddd")</f>
        <v>Fri</v>
      </c>
      <c r="F747" s="1" t="str">
        <f>TEXT(Table1[[#This Row],[Date]],"mmm")</f>
        <v>Mar</v>
      </c>
      <c r="G747" s="7">
        <v>15750</v>
      </c>
      <c r="H747">
        <v>92</v>
      </c>
    </row>
    <row r="748" spans="1:8" x14ac:dyDescent="0.25">
      <c r="A748" t="s">
        <v>55</v>
      </c>
      <c r="B748" t="s">
        <v>10</v>
      </c>
      <c r="C748" t="s">
        <v>57</v>
      </c>
      <c r="D748" s="2">
        <v>44727</v>
      </c>
      <c r="E748" s="1" t="str">
        <f>TEXT(Table1[[#This Row],[Date]],"ddd")</f>
        <v>Wed</v>
      </c>
      <c r="F748" s="1" t="str">
        <f>TEXT(Table1[[#This Row],[Date]],"mmm")</f>
        <v>Jun</v>
      </c>
      <c r="G748" s="7">
        <v>6839</v>
      </c>
      <c r="H748">
        <v>56</v>
      </c>
    </row>
    <row r="749" spans="1:8" x14ac:dyDescent="0.25">
      <c r="A749" t="s">
        <v>9</v>
      </c>
      <c r="B749" t="s">
        <v>29</v>
      </c>
      <c r="C749" t="s">
        <v>22</v>
      </c>
      <c r="D749" s="2">
        <v>44693</v>
      </c>
      <c r="E749" s="1" t="str">
        <f>TEXT(Table1[[#This Row],[Date]],"ddd")</f>
        <v>Thu</v>
      </c>
      <c r="F749" s="1" t="str">
        <f>TEXT(Table1[[#This Row],[Date]],"mmm")</f>
        <v>May</v>
      </c>
      <c r="G749" s="7">
        <v>13685</v>
      </c>
      <c r="H749">
        <v>58</v>
      </c>
    </row>
    <row r="750" spans="1:8" x14ac:dyDescent="0.25">
      <c r="A750" t="s">
        <v>49</v>
      </c>
      <c r="B750" t="s">
        <v>21</v>
      </c>
      <c r="C750" t="s">
        <v>56</v>
      </c>
      <c r="D750" s="2">
        <v>44735</v>
      </c>
      <c r="E750" s="1" t="str">
        <f>TEXT(Table1[[#This Row],[Date]],"ddd")</f>
        <v>Thu</v>
      </c>
      <c r="F750" s="1" t="str">
        <f>TEXT(Table1[[#This Row],[Date]],"mmm")</f>
        <v>Jun</v>
      </c>
      <c r="G750" s="7">
        <v>2912</v>
      </c>
      <c r="H750">
        <v>110</v>
      </c>
    </row>
    <row r="751" spans="1:8" x14ac:dyDescent="0.25">
      <c r="A751" t="s">
        <v>34</v>
      </c>
      <c r="B751" t="s">
        <v>10</v>
      </c>
      <c r="C751" t="s">
        <v>39</v>
      </c>
      <c r="D751" s="2">
        <v>44672</v>
      </c>
      <c r="E751" s="1" t="str">
        <f>TEXT(Table1[[#This Row],[Date]],"ddd")</f>
        <v>Thu</v>
      </c>
      <c r="F751" s="1" t="str">
        <f>TEXT(Table1[[#This Row],[Date]],"mmm")</f>
        <v>Apr</v>
      </c>
      <c r="G751" s="7">
        <v>3339</v>
      </c>
      <c r="H751">
        <v>171</v>
      </c>
    </row>
    <row r="752" spans="1:8" x14ac:dyDescent="0.25">
      <c r="A752" t="s">
        <v>12</v>
      </c>
      <c r="B752" t="s">
        <v>15</v>
      </c>
      <c r="C752" t="s">
        <v>47</v>
      </c>
      <c r="D752" s="2">
        <v>44790</v>
      </c>
      <c r="E752" s="1" t="str">
        <f>TEXT(Table1[[#This Row],[Date]],"ddd")</f>
        <v>Wed</v>
      </c>
      <c r="F752" s="1" t="str">
        <f>TEXT(Table1[[#This Row],[Date]],"mmm")</f>
        <v>Aug</v>
      </c>
      <c r="G752" s="7">
        <v>910</v>
      </c>
      <c r="H752">
        <v>117</v>
      </c>
    </row>
    <row r="753" spans="1:8" x14ac:dyDescent="0.25">
      <c r="A753" t="s">
        <v>24</v>
      </c>
      <c r="B753" t="s">
        <v>21</v>
      </c>
      <c r="C753" t="s">
        <v>30</v>
      </c>
      <c r="D753" s="2">
        <v>44599</v>
      </c>
      <c r="E753" s="1" t="str">
        <f>TEXT(Table1[[#This Row],[Date]],"ddd")</f>
        <v>Mon</v>
      </c>
      <c r="F753" s="1" t="str">
        <f>TEXT(Table1[[#This Row],[Date]],"mmm")</f>
        <v>Feb</v>
      </c>
      <c r="G753" s="7">
        <v>19481</v>
      </c>
      <c r="H753">
        <v>51</v>
      </c>
    </row>
    <row r="754" spans="1:8" x14ac:dyDescent="0.25">
      <c r="A754" t="s">
        <v>49</v>
      </c>
      <c r="B754" t="s">
        <v>29</v>
      </c>
      <c r="C754" t="s">
        <v>16</v>
      </c>
      <c r="D754" s="2">
        <v>44637</v>
      </c>
      <c r="E754" s="1" t="str">
        <f>TEXT(Table1[[#This Row],[Date]],"ddd")</f>
        <v>Thu</v>
      </c>
      <c r="F754" s="1" t="str">
        <f>TEXT(Table1[[#This Row],[Date]],"mmm")</f>
        <v>Mar</v>
      </c>
      <c r="G754" s="7">
        <v>8099</v>
      </c>
      <c r="H754">
        <v>118</v>
      </c>
    </row>
    <row r="755" spans="1:8" x14ac:dyDescent="0.25">
      <c r="A755" t="s">
        <v>14</v>
      </c>
      <c r="B755" t="s">
        <v>10</v>
      </c>
      <c r="C755" t="s">
        <v>56</v>
      </c>
      <c r="D755" s="2">
        <v>44774</v>
      </c>
      <c r="E755" s="1" t="str">
        <f>TEXT(Table1[[#This Row],[Date]],"ddd")</f>
        <v>Mon</v>
      </c>
      <c r="F755" s="1" t="str">
        <f>TEXT(Table1[[#This Row],[Date]],"mmm")</f>
        <v>Aug</v>
      </c>
      <c r="G755" s="7">
        <v>13727</v>
      </c>
      <c r="H755">
        <v>79</v>
      </c>
    </row>
    <row r="756" spans="1:8" x14ac:dyDescent="0.25">
      <c r="A756" t="s">
        <v>6</v>
      </c>
      <c r="B756" t="s">
        <v>15</v>
      </c>
      <c r="C756" t="s">
        <v>37</v>
      </c>
      <c r="D756" s="2">
        <v>44638</v>
      </c>
      <c r="E756" s="1" t="str">
        <f>TEXT(Table1[[#This Row],[Date]],"ddd")</f>
        <v>Fri</v>
      </c>
      <c r="F756" s="1" t="str">
        <f>TEXT(Table1[[#This Row],[Date]],"mmm")</f>
        <v>Mar</v>
      </c>
      <c r="G756" s="7">
        <v>8659</v>
      </c>
      <c r="H756">
        <v>29</v>
      </c>
    </row>
    <row r="757" spans="1:8" x14ac:dyDescent="0.25">
      <c r="A757" t="s">
        <v>12</v>
      </c>
      <c r="B757" t="s">
        <v>29</v>
      </c>
      <c r="C757" t="s">
        <v>42</v>
      </c>
      <c r="D757" s="2">
        <v>44726</v>
      </c>
      <c r="E757" s="1" t="str">
        <f>TEXT(Table1[[#This Row],[Date]],"ddd")</f>
        <v>Tue</v>
      </c>
      <c r="F757" s="1" t="str">
        <f>TEXT(Table1[[#This Row],[Date]],"mmm")</f>
        <v>Jun</v>
      </c>
      <c r="G757" s="7">
        <v>5782</v>
      </c>
      <c r="H757">
        <v>103</v>
      </c>
    </row>
    <row r="758" spans="1:8" x14ac:dyDescent="0.25">
      <c r="A758" t="s">
        <v>34</v>
      </c>
      <c r="B758" t="s">
        <v>7</v>
      </c>
      <c r="C758" t="s">
        <v>30</v>
      </c>
      <c r="D758" s="2">
        <v>44673</v>
      </c>
      <c r="E758" s="1" t="str">
        <f>TEXT(Table1[[#This Row],[Date]],"ddd")</f>
        <v>Fri</v>
      </c>
      <c r="F758" s="1" t="str">
        <f>TEXT(Table1[[#This Row],[Date]],"mmm")</f>
        <v>Apr</v>
      </c>
      <c r="G758" s="7">
        <v>8463</v>
      </c>
      <c r="H758">
        <v>155</v>
      </c>
    </row>
    <row r="759" spans="1:8" x14ac:dyDescent="0.25">
      <c r="A759" t="s">
        <v>33</v>
      </c>
      <c r="B759" t="s">
        <v>21</v>
      </c>
      <c r="C759" t="s">
        <v>30</v>
      </c>
      <c r="D759" s="2">
        <v>44579</v>
      </c>
      <c r="E759" s="1" t="str">
        <f>TEXT(Table1[[#This Row],[Date]],"ddd")</f>
        <v>Tue</v>
      </c>
      <c r="F759" s="1" t="str">
        <f>TEXT(Table1[[#This Row],[Date]],"mmm")</f>
        <v>Jan</v>
      </c>
      <c r="G759" s="7">
        <v>4914</v>
      </c>
      <c r="H759">
        <v>31</v>
      </c>
    </row>
    <row r="760" spans="1:8" x14ac:dyDescent="0.25">
      <c r="A760" t="s">
        <v>40</v>
      </c>
      <c r="B760" t="s">
        <v>15</v>
      </c>
      <c r="C760" t="s">
        <v>18</v>
      </c>
      <c r="D760" s="2">
        <v>44799</v>
      </c>
      <c r="E760" s="1" t="str">
        <f>TEXT(Table1[[#This Row],[Date]],"ddd")</f>
        <v>Fri</v>
      </c>
      <c r="F760" s="1" t="str">
        <f>TEXT(Table1[[#This Row],[Date]],"mmm")</f>
        <v>Aug</v>
      </c>
      <c r="G760" s="7">
        <v>3087</v>
      </c>
      <c r="H760">
        <v>128</v>
      </c>
    </row>
    <row r="761" spans="1:8" x14ac:dyDescent="0.25">
      <c r="A761" t="s">
        <v>19</v>
      </c>
      <c r="B761" t="s">
        <v>21</v>
      </c>
      <c r="C761" t="s">
        <v>42</v>
      </c>
      <c r="D761" s="2">
        <v>44722</v>
      </c>
      <c r="E761" s="1" t="str">
        <f>TEXT(Table1[[#This Row],[Date]],"ddd")</f>
        <v>Fri</v>
      </c>
      <c r="F761" s="1" t="str">
        <f>TEXT(Table1[[#This Row],[Date]],"mmm")</f>
        <v>Jun</v>
      </c>
      <c r="G761" s="7">
        <v>9205</v>
      </c>
      <c r="H761">
        <v>419</v>
      </c>
    </row>
    <row r="762" spans="1:8" x14ac:dyDescent="0.25">
      <c r="A762" t="s">
        <v>38</v>
      </c>
      <c r="B762" t="s">
        <v>29</v>
      </c>
      <c r="C762" t="s">
        <v>58</v>
      </c>
      <c r="D762" s="2">
        <v>44592</v>
      </c>
      <c r="E762" s="1" t="str">
        <f>TEXT(Table1[[#This Row],[Date]],"ddd")</f>
        <v>Mon</v>
      </c>
      <c r="F762" s="1" t="str">
        <f>TEXT(Table1[[#This Row],[Date]],"mmm")</f>
        <v>Jan</v>
      </c>
      <c r="G762" s="7">
        <v>2303</v>
      </c>
      <c r="H762">
        <v>7</v>
      </c>
    </row>
    <row r="763" spans="1:8" x14ac:dyDescent="0.25">
      <c r="A763" t="s">
        <v>49</v>
      </c>
      <c r="B763" t="s">
        <v>21</v>
      </c>
      <c r="C763" t="s">
        <v>45</v>
      </c>
      <c r="D763" s="2">
        <v>44659</v>
      </c>
      <c r="E763" s="1" t="str">
        <f>TEXT(Table1[[#This Row],[Date]],"ddd")</f>
        <v>Fri</v>
      </c>
      <c r="F763" s="1" t="str">
        <f>TEXT(Table1[[#This Row],[Date]],"mmm")</f>
        <v>Apr</v>
      </c>
      <c r="G763" s="7">
        <v>1358</v>
      </c>
      <c r="H763">
        <v>106</v>
      </c>
    </row>
    <row r="764" spans="1:8" x14ac:dyDescent="0.25">
      <c r="A764" t="s">
        <v>54</v>
      </c>
      <c r="B764" t="s">
        <v>15</v>
      </c>
      <c r="C764" t="s">
        <v>56</v>
      </c>
      <c r="D764" s="2">
        <v>44719</v>
      </c>
      <c r="E764" s="1" t="str">
        <f>TEXT(Table1[[#This Row],[Date]],"ddd")</f>
        <v>Tue</v>
      </c>
      <c r="F764" s="1" t="str">
        <f>TEXT(Table1[[#This Row],[Date]],"mmm")</f>
        <v>Jun</v>
      </c>
      <c r="G764" s="7">
        <v>3605</v>
      </c>
      <c r="H764">
        <v>68</v>
      </c>
    </row>
    <row r="765" spans="1:8" x14ac:dyDescent="0.25">
      <c r="A765" t="s">
        <v>25</v>
      </c>
      <c r="B765" t="s">
        <v>15</v>
      </c>
      <c r="C765" t="s">
        <v>11</v>
      </c>
      <c r="D765" s="2">
        <v>44602</v>
      </c>
      <c r="E765" s="1" t="str">
        <f>TEXT(Table1[[#This Row],[Date]],"ddd")</f>
        <v>Thu</v>
      </c>
      <c r="F765" s="1" t="str">
        <f>TEXT(Table1[[#This Row],[Date]],"mmm")</f>
        <v>Feb</v>
      </c>
      <c r="G765" s="7">
        <v>8498</v>
      </c>
      <c r="H765">
        <v>44</v>
      </c>
    </row>
    <row r="766" spans="1:8" x14ac:dyDescent="0.25">
      <c r="A766" t="s">
        <v>34</v>
      </c>
      <c r="B766" t="s">
        <v>15</v>
      </c>
      <c r="C766" t="s">
        <v>22</v>
      </c>
      <c r="D766" s="2">
        <v>44697</v>
      </c>
      <c r="E766" s="1" t="str">
        <f>TEXT(Table1[[#This Row],[Date]],"ddd")</f>
        <v>Mon</v>
      </c>
      <c r="F766" s="1" t="str">
        <f>TEXT(Table1[[#This Row],[Date]],"mmm")</f>
        <v>May</v>
      </c>
      <c r="G766" s="7">
        <v>700</v>
      </c>
      <c r="H766">
        <v>457</v>
      </c>
    </row>
    <row r="767" spans="1:8" x14ac:dyDescent="0.25">
      <c r="A767" t="s">
        <v>19</v>
      </c>
      <c r="B767" t="s">
        <v>10</v>
      </c>
      <c r="C767" t="s">
        <v>56</v>
      </c>
      <c r="D767" s="2">
        <v>44638</v>
      </c>
      <c r="E767" s="1" t="str">
        <f>TEXT(Table1[[#This Row],[Date]],"ddd")</f>
        <v>Fri</v>
      </c>
      <c r="F767" s="1" t="str">
        <f>TEXT(Table1[[#This Row],[Date]],"mmm")</f>
        <v>Mar</v>
      </c>
      <c r="G767" s="7">
        <v>2191</v>
      </c>
      <c r="H767">
        <v>524</v>
      </c>
    </row>
    <row r="768" spans="1:8" x14ac:dyDescent="0.25">
      <c r="A768" t="s">
        <v>9</v>
      </c>
      <c r="B768" t="s">
        <v>15</v>
      </c>
      <c r="C768" t="s">
        <v>22</v>
      </c>
      <c r="D768" s="2">
        <v>44755</v>
      </c>
      <c r="E768" s="1" t="str">
        <f>TEXT(Table1[[#This Row],[Date]],"ddd")</f>
        <v>Wed</v>
      </c>
      <c r="F768" s="1" t="str">
        <f>TEXT(Table1[[#This Row],[Date]],"mmm")</f>
        <v>Jul</v>
      </c>
      <c r="G768" s="7">
        <v>644</v>
      </c>
      <c r="H768">
        <v>137</v>
      </c>
    </row>
    <row r="769" spans="1:8" x14ac:dyDescent="0.25">
      <c r="A769" t="s">
        <v>17</v>
      </c>
      <c r="B769" t="s">
        <v>26</v>
      </c>
      <c r="C769" t="s">
        <v>45</v>
      </c>
      <c r="D769" s="2">
        <v>44767</v>
      </c>
      <c r="E769" s="1" t="str">
        <f>TEXT(Table1[[#This Row],[Date]],"ddd")</f>
        <v>Mon</v>
      </c>
      <c r="F769" s="1" t="str">
        <f>TEXT(Table1[[#This Row],[Date]],"mmm")</f>
        <v>Jul</v>
      </c>
      <c r="G769" s="7">
        <v>4340</v>
      </c>
      <c r="H769">
        <v>86</v>
      </c>
    </row>
    <row r="770" spans="1:8" x14ac:dyDescent="0.25">
      <c r="A770" t="s">
        <v>9</v>
      </c>
      <c r="B770" t="s">
        <v>29</v>
      </c>
      <c r="C770" t="s">
        <v>52</v>
      </c>
      <c r="D770" s="2">
        <v>44792</v>
      </c>
      <c r="E770" s="1" t="str">
        <f>TEXT(Table1[[#This Row],[Date]],"ddd")</f>
        <v>Fri</v>
      </c>
      <c r="F770" s="1" t="str">
        <f>TEXT(Table1[[#This Row],[Date]],"mmm")</f>
        <v>Aug</v>
      </c>
      <c r="G770" s="7">
        <v>2282</v>
      </c>
      <c r="H770">
        <v>296</v>
      </c>
    </row>
    <row r="771" spans="1:8" x14ac:dyDescent="0.25">
      <c r="A771" t="s">
        <v>31</v>
      </c>
      <c r="B771" t="s">
        <v>29</v>
      </c>
      <c r="C771" t="s">
        <v>58</v>
      </c>
      <c r="D771" s="2">
        <v>44736</v>
      </c>
      <c r="E771" s="1" t="str">
        <f>TEXT(Table1[[#This Row],[Date]],"ddd")</f>
        <v>Fri</v>
      </c>
      <c r="F771" s="1" t="str">
        <f>TEXT(Table1[[#This Row],[Date]],"mmm")</f>
        <v>Jun</v>
      </c>
      <c r="G771" s="7">
        <v>7714</v>
      </c>
      <c r="H771">
        <v>597</v>
      </c>
    </row>
    <row r="772" spans="1:8" x14ac:dyDescent="0.25">
      <c r="A772" t="s">
        <v>49</v>
      </c>
      <c r="B772" t="s">
        <v>29</v>
      </c>
      <c r="C772" t="s">
        <v>42</v>
      </c>
      <c r="D772" s="2">
        <v>44732</v>
      </c>
      <c r="E772" s="1" t="str">
        <f>TEXT(Table1[[#This Row],[Date]],"ddd")</f>
        <v>Mon</v>
      </c>
      <c r="F772" s="1" t="str">
        <f>TEXT(Table1[[#This Row],[Date]],"mmm")</f>
        <v>Jun</v>
      </c>
      <c r="G772" s="7">
        <v>826</v>
      </c>
      <c r="H772">
        <v>149</v>
      </c>
    </row>
    <row r="773" spans="1:8" x14ac:dyDescent="0.25">
      <c r="A773" t="s">
        <v>50</v>
      </c>
      <c r="B773" t="s">
        <v>10</v>
      </c>
      <c r="C773" t="s">
        <v>18</v>
      </c>
      <c r="D773" s="2">
        <v>44775</v>
      </c>
      <c r="E773" s="1" t="str">
        <f>TEXT(Table1[[#This Row],[Date]],"ddd")</f>
        <v>Tue</v>
      </c>
      <c r="F773" s="1" t="str">
        <f>TEXT(Table1[[#This Row],[Date]],"mmm")</f>
        <v>Aug</v>
      </c>
      <c r="G773" s="7">
        <v>203</v>
      </c>
      <c r="H773">
        <v>207</v>
      </c>
    </row>
    <row r="774" spans="1:8" x14ac:dyDescent="0.25">
      <c r="A774" t="s">
        <v>53</v>
      </c>
      <c r="B774" t="s">
        <v>21</v>
      </c>
      <c r="C774" t="s">
        <v>58</v>
      </c>
      <c r="D774" s="2">
        <v>44614</v>
      </c>
      <c r="E774" s="1" t="str">
        <f>TEXT(Table1[[#This Row],[Date]],"ddd")</f>
        <v>Tue</v>
      </c>
      <c r="F774" s="1" t="str">
        <f>TEXT(Table1[[#This Row],[Date]],"mmm")</f>
        <v>Feb</v>
      </c>
      <c r="G774" s="7">
        <v>13356</v>
      </c>
      <c r="H774">
        <v>93</v>
      </c>
    </row>
    <row r="775" spans="1:8" x14ac:dyDescent="0.25">
      <c r="A775" t="s">
        <v>28</v>
      </c>
      <c r="B775" t="s">
        <v>21</v>
      </c>
      <c r="C775" t="s">
        <v>27</v>
      </c>
      <c r="D775" s="2">
        <v>44593</v>
      </c>
      <c r="E775" s="1" t="str">
        <f>TEXT(Table1[[#This Row],[Date]],"ddd")</f>
        <v>Tue</v>
      </c>
      <c r="F775" s="1" t="str">
        <f>TEXT(Table1[[#This Row],[Date]],"mmm")</f>
        <v>Feb</v>
      </c>
      <c r="G775" s="7">
        <v>6510</v>
      </c>
      <c r="H775">
        <v>23</v>
      </c>
    </row>
    <row r="776" spans="1:8" x14ac:dyDescent="0.25">
      <c r="A776" t="s">
        <v>14</v>
      </c>
      <c r="B776" t="s">
        <v>29</v>
      </c>
      <c r="C776" t="s">
        <v>58</v>
      </c>
      <c r="D776" s="2">
        <v>44606</v>
      </c>
      <c r="E776" s="1" t="str">
        <f>TEXT(Table1[[#This Row],[Date]],"ddd")</f>
        <v>Mon</v>
      </c>
      <c r="F776" s="1" t="str">
        <f>TEXT(Table1[[#This Row],[Date]],"mmm")</f>
        <v>Feb</v>
      </c>
      <c r="G776" s="7">
        <v>5894</v>
      </c>
      <c r="H776">
        <v>305</v>
      </c>
    </row>
    <row r="777" spans="1:8" x14ac:dyDescent="0.25">
      <c r="A777" t="s">
        <v>49</v>
      </c>
      <c r="B777" t="s">
        <v>15</v>
      </c>
      <c r="C777" t="s">
        <v>37</v>
      </c>
      <c r="D777" s="2">
        <v>44616</v>
      </c>
      <c r="E777" s="1" t="str">
        <f>TEXT(Table1[[#This Row],[Date]],"ddd")</f>
        <v>Thu</v>
      </c>
      <c r="F777" s="1" t="str">
        <f>TEXT(Table1[[#This Row],[Date]],"mmm")</f>
        <v>Feb</v>
      </c>
      <c r="G777" s="7">
        <v>7910</v>
      </c>
      <c r="H777">
        <v>125</v>
      </c>
    </row>
    <row r="778" spans="1:8" x14ac:dyDescent="0.25">
      <c r="A778" t="s">
        <v>43</v>
      </c>
      <c r="B778" t="s">
        <v>10</v>
      </c>
      <c r="C778" t="s">
        <v>27</v>
      </c>
      <c r="D778" s="2">
        <v>44638</v>
      </c>
      <c r="E778" s="1" t="str">
        <f>TEXT(Table1[[#This Row],[Date]],"ddd")</f>
        <v>Fri</v>
      </c>
      <c r="F778" s="1" t="str">
        <f>TEXT(Table1[[#This Row],[Date]],"mmm")</f>
        <v>Mar</v>
      </c>
      <c r="G778" s="7">
        <v>784</v>
      </c>
      <c r="H778">
        <v>129</v>
      </c>
    </row>
    <row r="779" spans="1:8" x14ac:dyDescent="0.25">
      <c r="A779" t="s">
        <v>40</v>
      </c>
      <c r="B779" t="s">
        <v>7</v>
      </c>
      <c r="C779" t="s">
        <v>30</v>
      </c>
      <c r="D779" s="2">
        <v>44803</v>
      </c>
      <c r="E779" s="1" t="str">
        <f>TEXT(Table1[[#This Row],[Date]],"ddd")</f>
        <v>Tue</v>
      </c>
      <c r="F779" s="1" t="str">
        <f>TEXT(Table1[[#This Row],[Date]],"mmm")</f>
        <v>Aug</v>
      </c>
      <c r="G779" s="7">
        <v>1750</v>
      </c>
      <c r="H779">
        <v>252</v>
      </c>
    </row>
    <row r="780" spans="1:8" x14ac:dyDescent="0.25">
      <c r="A780" t="s">
        <v>12</v>
      </c>
      <c r="B780" t="s">
        <v>26</v>
      </c>
      <c r="C780" t="s">
        <v>13</v>
      </c>
      <c r="D780" s="2">
        <v>44690</v>
      </c>
      <c r="E780" s="1" t="str">
        <f>TEXT(Table1[[#This Row],[Date]],"ddd")</f>
        <v>Mon</v>
      </c>
      <c r="F780" s="1" t="str">
        <f>TEXT(Table1[[#This Row],[Date]],"mmm")</f>
        <v>May</v>
      </c>
      <c r="G780" s="7">
        <v>280</v>
      </c>
      <c r="H780">
        <v>75</v>
      </c>
    </row>
    <row r="781" spans="1:8" x14ac:dyDescent="0.25">
      <c r="A781" t="s">
        <v>46</v>
      </c>
      <c r="B781" t="s">
        <v>26</v>
      </c>
      <c r="C781" t="s">
        <v>16</v>
      </c>
      <c r="D781" s="2">
        <v>44579</v>
      </c>
      <c r="E781" s="1" t="str">
        <f>TEXT(Table1[[#This Row],[Date]],"ddd")</f>
        <v>Tue</v>
      </c>
      <c r="F781" s="1" t="str">
        <f>TEXT(Table1[[#This Row],[Date]],"mmm")</f>
        <v>Jan</v>
      </c>
      <c r="G781" s="7">
        <v>504</v>
      </c>
      <c r="H781">
        <v>87</v>
      </c>
    </row>
    <row r="782" spans="1:8" x14ac:dyDescent="0.25">
      <c r="A782" t="s">
        <v>38</v>
      </c>
      <c r="B782" t="s">
        <v>10</v>
      </c>
      <c r="C782" t="s">
        <v>44</v>
      </c>
      <c r="D782" s="2">
        <v>44746</v>
      </c>
      <c r="E782" s="1" t="str">
        <f>TEXT(Table1[[#This Row],[Date]],"ddd")</f>
        <v>Mon</v>
      </c>
      <c r="F782" s="1" t="str">
        <f>TEXT(Table1[[#This Row],[Date]],"mmm")</f>
        <v>Jul</v>
      </c>
      <c r="G782" s="7">
        <v>7154</v>
      </c>
      <c r="H782">
        <v>342</v>
      </c>
    </row>
    <row r="783" spans="1:8" x14ac:dyDescent="0.25">
      <c r="A783" t="s">
        <v>17</v>
      </c>
      <c r="B783" t="s">
        <v>21</v>
      </c>
      <c r="C783" t="s">
        <v>39</v>
      </c>
      <c r="D783" s="2">
        <v>44715</v>
      </c>
      <c r="E783" s="1" t="str">
        <f>TEXT(Table1[[#This Row],[Date]],"ddd")</f>
        <v>Fri</v>
      </c>
      <c r="F783" s="1" t="str">
        <f>TEXT(Table1[[#This Row],[Date]],"mmm")</f>
        <v>Jun</v>
      </c>
      <c r="G783" s="7">
        <v>1617</v>
      </c>
      <c r="H783">
        <v>13</v>
      </c>
    </row>
    <row r="784" spans="1:8" x14ac:dyDescent="0.25">
      <c r="A784" t="s">
        <v>34</v>
      </c>
      <c r="B784" t="s">
        <v>21</v>
      </c>
      <c r="C784" t="s">
        <v>13</v>
      </c>
      <c r="D784" s="2">
        <v>44615</v>
      </c>
      <c r="E784" s="1" t="str">
        <f>TEXT(Table1[[#This Row],[Date]],"ddd")</f>
        <v>Wed</v>
      </c>
      <c r="F784" s="1" t="str">
        <f>TEXT(Table1[[#This Row],[Date]],"mmm")</f>
        <v>Feb</v>
      </c>
      <c r="G784" s="7">
        <v>10822</v>
      </c>
      <c r="H784">
        <v>30</v>
      </c>
    </row>
    <row r="785" spans="1:8" x14ac:dyDescent="0.25">
      <c r="A785" t="s">
        <v>54</v>
      </c>
      <c r="B785" t="s">
        <v>21</v>
      </c>
      <c r="C785" t="s">
        <v>18</v>
      </c>
      <c r="D785" s="2">
        <v>44690</v>
      </c>
      <c r="E785" s="1" t="str">
        <f>TEXT(Table1[[#This Row],[Date]],"ddd")</f>
        <v>Mon</v>
      </c>
      <c r="F785" s="1" t="str">
        <f>TEXT(Table1[[#This Row],[Date]],"mmm")</f>
        <v>May</v>
      </c>
      <c r="G785" s="7">
        <v>10724</v>
      </c>
      <c r="H785">
        <v>203</v>
      </c>
    </row>
    <row r="786" spans="1:8" x14ac:dyDescent="0.25">
      <c r="A786" t="s">
        <v>49</v>
      </c>
      <c r="B786" t="s">
        <v>10</v>
      </c>
      <c r="C786" t="s">
        <v>58</v>
      </c>
      <c r="D786" s="2">
        <v>44718</v>
      </c>
      <c r="E786" s="1" t="str">
        <f>TEXT(Table1[[#This Row],[Date]],"ddd")</f>
        <v>Mon</v>
      </c>
      <c r="F786" s="1" t="str">
        <f>TEXT(Table1[[#This Row],[Date]],"mmm")</f>
        <v>Jun</v>
      </c>
      <c r="G786" s="7">
        <v>3640</v>
      </c>
      <c r="H786">
        <v>106</v>
      </c>
    </row>
    <row r="787" spans="1:8" x14ac:dyDescent="0.25">
      <c r="A787" t="s">
        <v>49</v>
      </c>
      <c r="B787" t="s">
        <v>10</v>
      </c>
      <c r="C787" t="s">
        <v>32</v>
      </c>
      <c r="D787" s="2">
        <v>44746</v>
      </c>
      <c r="E787" s="1" t="str">
        <f>TEXT(Table1[[#This Row],[Date]],"ddd")</f>
        <v>Mon</v>
      </c>
      <c r="F787" s="1" t="str">
        <f>TEXT(Table1[[#This Row],[Date]],"mmm")</f>
        <v>Jul</v>
      </c>
      <c r="G787" s="7">
        <v>7532</v>
      </c>
      <c r="H787">
        <v>234</v>
      </c>
    </row>
    <row r="788" spans="1:8" x14ac:dyDescent="0.25">
      <c r="A788" t="s">
        <v>23</v>
      </c>
      <c r="B788" t="s">
        <v>21</v>
      </c>
      <c r="C788" t="s">
        <v>32</v>
      </c>
      <c r="D788" s="2">
        <v>44718</v>
      </c>
      <c r="E788" s="1" t="str">
        <f>TEXT(Table1[[#This Row],[Date]],"ddd")</f>
        <v>Mon</v>
      </c>
      <c r="F788" s="1" t="str">
        <f>TEXT(Table1[[#This Row],[Date]],"mmm")</f>
        <v>Jun</v>
      </c>
      <c r="G788" s="7">
        <v>1582</v>
      </c>
      <c r="H788">
        <v>100</v>
      </c>
    </row>
    <row r="789" spans="1:8" x14ac:dyDescent="0.25">
      <c r="A789" t="s">
        <v>54</v>
      </c>
      <c r="B789" t="s">
        <v>15</v>
      </c>
      <c r="C789" t="s">
        <v>47</v>
      </c>
      <c r="D789" s="2">
        <v>44694</v>
      </c>
      <c r="E789" s="1" t="str">
        <f>TEXT(Table1[[#This Row],[Date]],"ddd")</f>
        <v>Fri</v>
      </c>
      <c r="F789" s="1" t="str">
        <f>TEXT(Table1[[#This Row],[Date]],"mmm")</f>
        <v>May</v>
      </c>
      <c r="G789" s="7">
        <v>1456</v>
      </c>
      <c r="H789">
        <v>91</v>
      </c>
    </row>
    <row r="790" spans="1:8" x14ac:dyDescent="0.25">
      <c r="A790" t="s">
        <v>46</v>
      </c>
      <c r="B790" t="s">
        <v>21</v>
      </c>
      <c r="C790" t="s">
        <v>35</v>
      </c>
      <c r="D790" s="2">
        <v>44592</v>
      </c>
      <c r="E790" s="1" t="str">
        <f>TEXT(Table1[[#This Row],[Date]],"ddd")</f>
        <v>Mon</v>
      </c>
      <c r="F790" s="1" t="str">
        <f>TEXT(Table1[[#This Row],[Date]],"mmm")</f>
        <v>Jan</v>
      </c>
      <c r="G790" s="7">
        <v>2016</v>
      </c>
      <c r="H790">
        <v>277</v>
      </c>
    </row>
    <row r="791" spans="1:8" x14ac:dyDescent="0.25">
      <c r="A791" t="s">
        <v>55</v>
      </c>
      <c r="B791" t="s">
        <v>21</v>
      </c>
      <c r="C791" t="s">
        <v>57</v>
      </c>
      <c r="D791" s="2">
        <v>44742</v>
      </c>
      <c r="E791" s="1" t="str">
        <f>TEXT(Table1[[#This Row],[Date]],"ddd")</f>
        <v>Thu</v>
      </c>
      <c r="F791" s="1" t="str">
        <f>TEXT(Table1[[#This Row],[Date]],"mmm")</f>
        <v>Jun</v>
      </c>
      <c r="G791" s="7">
        <v>7588</v>
      </c>
      <c r="H791">
        <v>42</v>
      </c>
    </row>
    <row r="792" spans="1:8" x14ac:dyDescent="0.25">
      <c r="A792" t="s">
        <v>25</v>
      </c>
      <c r="B792" t="s">
        <v>29</v>
      </c>
      <c r="C792" t="s">
        <v>45</v>
      </c>
      <c r="D792" s="2">
        <v>44798</v>
      </c>
      <c r="E792" s="1" t="str">
        <f>TEXT(Table1[[#This Row],[Date]],"ddd")</f>
        <v>Thu</v>
      </c>
      <c r="F792" s="1" t="str">
        <f>TEXT(Table1[[#This Row],[Date]],"mmm")</f>
        <v>Aug</v>
      </c>
      <c r="G792" s="7">
        <v>3402</v>
      </c>
      <c r="H792">
        <v>249</v>
      </c>
    </row>
    <row r="793" spans="1:8" x14ac:dyDescent="0.25">
      <c r="A793" t="s">
        <v>12</v>
      </c>
      <c r="B793" t="s">
        <v>21</v>
      </c>
      <c r="C793" t="s">
        <v>16</v>
      </c>
      <c r="D793" s="2">
        <v>44571</v>
      </c>
      <c r="E793" s="1" t="str">
        <f>TEXT(Table1[[#This Row],[Date]],"ddd")</f>
        <v>Mon</v>
      </c>
      <c r="F793" s="1" t="str">
        <f>TEXT(Table1[[#This Row],[Date]],"mmm")</f>
        <v>Jan</v>
      </c>
      <c r="G793" s="7">
        <v>700</v>
      </c>
      <c r="H793">
        <v>97</v>
      </c>
    </row>
    <row r="794" spans="1:8" x14ac:dyDescent="0.25">
      <c r="A794" t="s">
        <v>23</v>
      </c>
      <c r="B794" t="s">
        <v>26</v>
      </c>
      <c r="C794" t="s">
        <v>45</v>
      </c>
      <c r="D794" s="2">
        <v>44795</v>
      </c>
      <c r="E794" s="1" t="str">
        <f>TEXT(Table1[[#This Row],[Date]],"ddd")</f>
        <v>Mon</v>
      </c>
      <c r="F794" s="1" t="str">
        <f>TEXT(Table1[[#This Row],[Date]],"mmm")</f>
        <v>Aug</v>
      </c>
      <c r="G794" s="7">
        <v>1904</v>
      </c>
      <c r="H794">
        <v>8</v>
      </c>
    </row>
    <row r="795" spans="1:8" x14ac:dyDescent="0.25">
      <c r="A795" t="s">
        <v>36</v>
      </c>
      <c r="B795" t="s">
        <v>21</v>
      </c>
      <c r="C795" t="s">
        <v>11</v>
      </c>
      <c r="D795" s="2">
        <v>44665</v>
      </c>
      <c r="E795" s="1" t="str">
        <f>TEXT(Table1[[#This Row],[Date]],"ddd")</f>
        <v>Thu</v>
      </c>
      <c r="F795" s="1" t="str">
        <f>TEXT(Table1[[#This Row],[Date]],"mmm")</f>
        <v>Apr</v>
      </c>
      <c r="G795" s="7">
        <v>4844</v>
      </c>
      <c r="H795">
        <v>275</v>
      </c>
    </row>
    <row r="796" spans="1:8" x14ac:dyDescent="0.25">
      <c r="A796" t="s">
        <v>17</v>
      </c>
      <c r="B796" t="s">
        <v>7</v>
      </c>
      <c r="C796" t="s">
        <v>16</v>
      </c>
      <c r="D796" s="2">
        <v>44712</v>
      </c>
      <c r="E796" s="1" t="str">
        <f>TEXT(Table1[[#This Row],[Date]],"ddd")</f>
        <v>Tue</v>
      </c>
      <c r="F796" s="1" t="str">
        <f>TEXT(Table1[[#This Row],[Date]],"mmm")</f>
        <v>May</v>
      </c>
      <c r="G796" s="7">
        <v>9625</v>
      </c>
      <c r="H796">
        <v>313</v>
      </c>
    </row>
    <row r="797" spans="1:8" x14ac:dyDescent="0.25">
      <c r="A797" t="s">
        <v>17</v>
      </c>
      <c r="B797" t="s">
        <v>7</v>
      </c>
      <c r="C797" t="s">
        <v>51</v>
      </c>
      <c r="D797" s="2">
        <v>44659</v>
      </c>
      <c r="E797" s="1" t="str">
        <f>TEXT(Table1[[#This Row],[Date]],"ddd")</f>
        <v>Fri</v>
      </c>
      <c r="F797" s="1" t="str">
        <f>TEXT(Table1[[#This Row],[Date]],"mmm")</f>
        <v>Apr</v>
      </c>
      <c r="G797" s="7">
        <v>4599</v>
      </c>
      <c r="H797">
        <v>323</v>
      </c>
    </row>
    <row r="798" spans="1:8" x14ac:dyDescent="0.25">
      <c r="A798" t="s">
        <v>36</v>
      </c>
      <c r="B798" t="s">
        <v>26</v>
      </c>
      <c r="C798" t="s">
        <v>32</v>
      </c>
      <c r="D798" s="2">
        <v>44613</v>
      </c>
      <c r="E798" s="1" t="str">
        <f>TEXT(Table1[[#This Row],[Date]],"ddd")</f>
        <v>Mon</v>
      </c>
      <c r="F798" s="1" t="str">
        <f>TEXT(Table1[[#This Row],[Date]],"mmm")</f>
        <v>Feb</v>
      </c>
      <c r="G798" s="7">
        <v>3003</v>
      </c>
      <c r="H798">
        <v>155</v>
      </c>
    </row>
    <row r="799" spans="1:8" x14ac:dyDescent="0.25">
      <c r="A799" t="s">
        <v>48</v>
      </c>
      <c r="B799" t="s">
        <v>15</v>
      </c>
      <c r="C799" t="s">
        <v>45</v>
      </c>
      <c r="D799" s="2">
        <v>44650</v>
      </c>
      <c r="E799" s="1" t="str">
        <f>TEXT(Table1[[#This Row],[Date]],"ddd")</f>
        <v>Wed</v>
      </c>
      <c r="F799" s="1" t="str">
        <f>TEXT(Table1[[#This Row],[Date]],"mmm")</f>
        <v>Mar</v>
      </c>
      <c r="G799" s="7">
        <v>9744</v>
      </c>
      <c r="H799">
        <v>377</v>
      </c>
    </row>
    <row r="800" spans="1:8" x14ac:dyDescent="0.25">
      <c r="A800" t="s">
        <v>28</v>
      </c>
      <c r="B800" t="s">
        <v>10</v>
      </c>
      <c r="C800" t="s">
        <v>51</v>
      </c>
      <c r="D800" s="2">
        <v>44622</v>
      </c>
      <c r="E800" s="1" t="str">
        <f>TEXT(Table1[[#This Row],[Date]],"ddd")</f>
        <v>Wed</v>
      </c>
      <c r="F800" s="1" t="str">
        <f>TEXT(Table1[[#This Row],[Date]],"mmm")</f>
        <v>Mar</v>
      </c>
      <c r="G800" s="7">
        <v>1400</v>
      </c>
      <c r="H800">
        <v>2</v>
      </c>
    </row>
    <row r="801" spans="1:8" x14ac:dyDescent="0.25">
      <c r="A801" t="s">
        <v>6</v>
      </c>
      <c r="B801" t="s">
        <v>26</v>
      </c>
      <c r="C801" t="s">
        <v>27</v>
      </c>
      <c r="D801" s="2">
        <v>44770</v>
      </c>
      <c r="E801" s="1" t="str">
        <f>TEXT(Table1[[#This Row],[Date]],"ddd")</f>
        <v>Thu</v>
      </c>
      <c r="F801" s="1" t="str">
        <f>TEXT(Table1[[#This Row],[Date]],"mmm")</f>
        <v>Jul</v>
      </c>
      <c r="G801" s="7">
        <v>364</v>
      </c>
      <c r="H801">
        <v>170</v>
      </c>
    </row>
    <row r="802" spans="1:8" x14ac:dyDescent="0.25">
      <c r="A802" t="s">
        <v>41</v>
      </c>
      <c r="B802" t="s">
        <v>21</v>
      </c>
      <c r="C802" t="s">
        <v>58</v>
      </c>
      <c r="D802" s="2">
        <v>44644</v>
      </c>
      <c r="E802" s="1" t="str">
        <f>TEXT(Table1[[#This Row],[Date]],"ddd")</f>
        <v>Thu</v>
      </c>
      <c r="F802" s="1" t="str">
        <f>TEXT(Table1[[#This Row],[Date]],"mmm")</f>
        <v>Mar</v>
      </c>
      <c r="G802" s="7">
        <v>7231</v>
      </c>
      <c r="H802">
        <v>38</v>
      </c>
    </row>
    <row r="803" spans="1:8" x14ac:dyDescent="0.25">
      <c r="A803" t="s">
        <v>38</v>
      </c>
      <c r="B803" t="s">
        <v>15</v>
      </c>
      <c r="C803" t="s">
        <v>20</v>
      </c>
      <c r="D803" s="2">
        <v>44784</v>
      </c>
      <c r="E803" s="1" t="str">
        <f>TEXT(Table1[[#This Row],[Date]],"ddd")</f>
        <v>Thu</v>
      </c>
      <c r="F803" s="1" t="str">
        <f>TEXT(Table1[[#This Row],[Date]],"mmm")</f>
        <v>Aug</v>
      </c>
      <c r="G803" s="7">
        <v>63</v>
      </c>
      <c r="H803">
        <v>105</v>
      </c>
    </row>
    <row r="804" spans="1:8" x14ac:dyDescent="0.25">
      <c r="A804" t="s">
        <v>40</v>
      </c>
      <c r="B804" t="s">
        <v>7</v>
      </c>
      <c r="C804" t="s">
        <v>47</v>
      </c>
      <c r="D804" s="2">
        <v>44698</v>
      </c>
      <c r="E804" s="1" t="str">
        <f>TEXT(Table1[[#This Row],[Date]],"ddd")</f>
        <v>Tue</v>
      </c>
      <c r="F804" s="1" t="str">
        <f>TEXT(Table1[[#This Row],[Date]],"mmm")</f>
        <v>May</v>
      </c>
      <c r="G804" s="7">
        <v>8309</v>
      </c>
      <c r="H804">
        <v>166</v>
      </c>
    </row>
    <row r="805" spans="1:8" x14ac:dyDescent="0.25">
      <c r="A805" t="s">
        <v>41</v>
      </c>
      <c r="B805" t="s">
        <v>29</v>
      </c>
      <c r="C805" t="s">
        <v>52</v>
      </c>
      <c r="D805" s="2">
        <v>44699</v>
      </c>
      <c r="E805" s="1" t="str">
        <f>TEXT(Table1[[#This Row],[Date]],"ddd")</f>
        <v>Wed</v>
      </c>
      <c r="F805" s="1" t="str">
        <f>TEXT(Table1[[#This Row],[Date]],"mmm")</f>
        <v>May</v>
      </c>
      <c r="G805" s="7">
        <v>3164</v>
      </c>
      <c r="H805">
        <v>164</v>
      </c>
    </row>
    <row r="806" spans="1:8" x14ac:dyDescent="0.25">
      <c r="A806" t="s">
        <v>36</v>
      </c>
      <c r="B806" t="s">
        <v>7</v>
      </c>
      <c r="C806" t="s">
        <v>13</v>
      </c>
      <c r="D806" s="2">
        <v>44790</v>
      </c>
      <c r="E806" s="1" t="str">
        <f>TEXT(Table1[[#This Row],[Date]],"ddd")</f>
        <v>Wed</v>
      </c>
      <c r="F806" s="1" t="str">
        <f>TEXT(Table1[[#This Row],[Date]],"mmm")</f>
        <v>Aug</v>
      </c>
      <c r="G806" s="7">
        <v>5691</v>
      </c>
      <c r="H806">
        <v>171</v>
      </c>
    </row>
    <row r="807" spans="1:8" x14ac:dyDescent="0.25">
      <c r="A807" t="s">
        <v>55</v>
      </c>
      <c r="B807" t="s">
        <v>21</v>
      </c>
      <c r="C807" t="s">
        <v>30</v>
      </c>
      <c r="D807" s="2">
        <v>44655</v>
      </c>
      <c r="E807" s="1" t="str">
        <f>TEXT(Table1[[#This Row],[Date]],"ddd")</f>
        <v>Mon</v>
      </c>
      <c r="F807" s="1" t="str">
        <f>TEXT(Table1[[#This Row],[Date]],"mmm")</f>
        <v>Apr</v>
      </c>
      <c r="G807" s="7">
        <v>490</v>
      </c>
      <c r="H807">
        <v>49</v>
      </c>
    </row>
    <row r="808" spans="1:8" x14ac:dyDescent="0.25">
      <c r="A808" t="s">
        <v>23</v>
      </c>
      <c r="B808" t="s">
        <v>10</v>
      </c>
      <c r="C808" t="s">
        <v>11</v>
      </c>
      <c r="D808" s="2">
        <v>44782</v>
      </c>
      <c r="E808" s="1" t="str">
        <f>TEXT(Table1[[#This Row],[Date]],"ddd")</f>
        <v>Tue</v>
      </c>
      <c r="F808" s="1" t="str">
        <f>TEXT(Table1[[#This Row],[Date]],"mmm")</f>
        <v>Aug</v>
      </c>
      <c r="G808" s="7">
        <v>18032</v>
      </c>
      <c r="H808">
        <v>205</v>
      </c>
    </row>
    <row r="809" spans="1:8" x14ac:dyDescent="0.25">
      <c r="A809" t="s">
        <v>23</v>
      </c>
      <c r="B809" t="s">
        <v>21</v>
      </c>
      <c r="C809" t="s">
        <v>35</v>
      </c>
      <c r="D809" s="2">
        <v>44578</v>
      </c>
      <c r="E809" s="1" t="str">
        <f>TEXT(Table1[[#This Row],[Date]],"ddd")</f>
        <v>Mon</v>
      </c>
      <c r="F809" s="1" t="str">
        <f>TEXT(Table1[[#This Row],[Date]],"mmm")</f>
        <v>Jan</v>
      </c>
      <c r="G809" s="7">
        <v>637</v>
      </c>
      <c r="H809">
        <v>313</v>
      </c>
    </row>
    <row r="810" spans="1:8" x14ac:dyDescent="0.25">
      <c r="A810" t="s">
        <v>48</v>
      </c>
      <c r="B810" t="s">
        <v>29</v>
      </c>
      <c r="C810" t="s">
        <v>44</v>
      </c>
      <c r="D810" s="2">
        <v>44606</v>
      </c>
      <c r="E810" s="1" t="str">
        <f>TEXT(Table1[[#This Row],[Date]],"ddd")</f>
        <v>Mon</v>
      </c>
      <c r="F810" s="1" t="str">
        <f>TEXT(Table1[[#This Row],[Date]],"mmm")</f>
        <v>Feb</v>
      </c>
      <c r="G810" s="7">
        <v>4067</v>
      </c>
      <c r="H810">
        <v>29</v>
      </c>
    </row>
    <row r="811" spans="1:8" x14ac:dyDescent="0.25">
      <c r="A811" t="s">
        <v>12</v>
      </c>
      <c r="B811" t="s">
        <v>21</v>
      </c>
      <c r="C811" t="s">
        <v>27</v>
      </c>
      <c r="D811" s="2">
        <v>44697</v>
      </c>
      <c r="E811" s="1" t="str">
        <f>TEXT(Table1[[#This Row],[Date]],"ddd")</f>
        <v>Mon</v>
      </c>
      <c r="F811" s="1" t="str">
        <f>TEXT(Table1[[#This Row],[Date]],"mmm")</f>
        <v>May</v>
      </c>
      <c r="G811" s="7">
        <v>8204</v>
      </c>
      <c r="H811">
        <v>307</v>
      </c>
    </row>
    <row r="812" spans="1:8" x14ac:dyDescent="0.25">
      <c r="A812" t="s">
        <v>55</v>
      </c>
      <c r="B812" t="s">
        <v>29</v>
      </c>
      <c r="C812" t="s">
        <v>16</v>
      </c>
      <c r="D812" s="2">
        <v>44636</v>
      </c>
      <c r="E812" s="1" t="str">
        <f>TEXT(Table1[[#This Row],[Date]],"ddd")</f>
        <v>Wed</v>
      </c>
      <c r="F812" s="1" t="str">
        <f>TEXT(Table1[[#This Row],[Date]],"mmm")</f>
        <v>Mar</v>
      </c>
      <c r="G812" s="7">
        <v>9870</v>
      </c>
      <c r="H812">
        <v>121</v>
      </c>
    </row>
    <row r="813" spans="1:8" x14ac:dyDescent="0.25">
      <c r="A813" t="s">
        <v>40</v>
      </c>
      <c r="B813" t="s">
        <v>29</v>
      </c>
      <c r="C813" t="s">
        <v>58</v>
      </c>
      <c r="D813" s="2">
        <v>44592</v>
      </c>
      <c r="E813" s="1" t="str">
        <f>TEXT(Table1[[#This Row],[Date]],"ddd")</f>
        <v>Mon</v>
      </c>
      <c r="F813" s="1" t="str">
        <f>TEXT(Table1[[#This Row],[Date]],"mmm")</f>
        <v>Jan</v>
      </c>
      <c r="G813" s="7">
        <v>5131</v>
      </c>
      <c r="H813">
        <v>285</v>
      </c>
    </row>
    <row r="814" spans="1:8" x14ac:dyDescent="0.25">
      <c r="A814" t="s">
        <v>25</v>
      </c>
      <c r="B814" t="s">
        <v>29</v>
      </c>
      <c r="C814" t="s">
        <v>35</v>
      </c>
      <c r="D814" s="2">
        <v>44630</v>
      </c>
      <c r="E814" s="1" t="str">
        <f>TEXT(Table1[[#This Row],[Date]],"ddd")</f>
        <v>Thu</v>
      </c>
      <c r="F814" s="1" t="str">
        <f>TEXT(Table1[[#This Row],[Date]],"mmm")</f>
        <v>Mar</v>
      </c>
      <c r="G814" s="7">
        <v>1141</v>
      </c>
      <c r="H814">
        <v>205</v>
      </c>
    </row>
    <row r="815" spans="1:8" x14ac:dyDescent="0.25">
      <c r="A815" t="s">
        <v>17</v>
      </c>
      <c r="B815" t="s">
        <v>7</v>
      </c>
      <c r="C815" t="s">
        <v>35</v>
      </c>
      <c r="D815" s="2">
        <v>44742</v>
      </c>
      <c r="E815" s="1" t="str">
        <f>TEXT(Table1[[#This Row],[Date]],"ddd")</f>
        <v>Thu</v>
      </c>
      <c r="F815" s="1" t="str">
        <f>TEXT(Table1[[#This Row],[Date]],"mmm")</f>
        <v>Jun</v>
      </c>
      <c r="G815" s="7">
        <v>7980</v>
      </c>
      <c r="H815">
        <v>157</v>
      </c>
    </row>
    <row r="816" spans="1:8" x14ac:dyDescent="0.25">
      <c r="A816" t="s">
        <v>9</v>
      </c>
      <c r="B816" t="s">
        <v>21</v>
      </c>
      <c r="C816" t="s">
        <v>30</v>
      </c>
      <c r="D816" s="2">
        <v>44621</v>
      </c>
      <c r="E816" s="1" t="str">
        <f>TEXT(Table1[[#This Row],[Date]],"ddd")</f>
        <v>Tue</v>
      </c>
      <c r="F816" s="1" t="str">
        <f>TEXT(Table1[[#This Row],[Date]],"mmm")</f>
        <v>Mar</v>
      </c>
      <c r="G816" s="7">
        <v>5229</v>
      </c>
      <c r="H816">
        <v>182</v>
      </c>
    </row>
    <row r="817" spans="1:8" x14ac:dyDescent="0.25">
      <c r="A817" t="s">
        <v>28</v>
      </c>
      <c r="B817" t="s">
        <v>7</v>
      </c>
      <c r="C817" t="s">
        <v>32</v>
      </c>
      <c r="D817" s="2">
        <v>44708</v>
      </c>
      <c r="E817" s="1" t="str">
        <f>TEXT(Table1[[#This Row],[Date]],"ddd")</f>
        <v>Fri</v>
      </c>
      <c r="F817" s="1" t="str">
        <f>TEXT(Table1[[#This Row],[Date]],"mmm")</f>
        <v>May</v>
      </c>
      <c r="G817" s="7">
        <v>3423</v>
      </c>
      <c r="H817">
        <v>100</v>
      </c>
    </row>
    <row r="818" spans="1:8" x14ac:dyDescent="0.25">
      <c r="A818" t="s">
        <v>17</v>
      </c>
      <c r="B818" t="s">
        <v>7</v>
      </c>
      <c r="C818" t="s">
        <v>37</v>
      </c>
      <c r="D818" s="2">
        <v>44753</v>
      </c>
      <c r="E818" s="1" t="str">
        <f>TEXT(Table1[[#This Row],[Date]],"ddd")</f>
        <v>Mon</v>
      </c>
      <c r="F818" s="1" t="str">
        <f>TEXT(Table1[[#This Row],[Date]],"mmm")</f>
        <v>Jul</v>
      </c>
      <c r="G818" s="7">
        <v>6468</v>
      </c>
      <c r="H818">
        <v>223</v>
      </c>
    </row>
    <row r="819" spans="1:8" x14ac:dyDescent="0.25">
      <c r="A819" t="s">
        <v>31</v>
      </c>
      <c r="B819" t="s">
        <v>21</v>
      </c>
      <c r="C819" t="s">
        <v>8</v>
      </c>
      <c r="D819" s="2">
        <v>44622</v>
      </c>
      <c r="E819" s="1" t="str">
        <f>TEXT(Table1[[#This Row],[Date]],"ddd")</f>
        <v>Wed</v>
      </c>
      <c r="F819" s="1" t="str">
        <f>TEXT(Table1[[#This Row],[Date]],"mmm")</f>
        <v>Mar</v>
      </c>
      <c r="G819" s="7">
        <v>4326</v>
      </c>
      <c r="H819">
        <v>61</v>
      </c>
    </row>
    <row r="820" spans="1:8" x14ac:dyDescent="0.25">
      <c r="A820" t="s">
        <v>6</v>
      </c>
      <c r="B820" t="s">
        <v>26</v>
      </c>
      <c r="C820" t="s">
        <v>51</v>
      </c>
      <c r="D820" s="2">
        <v>44624</v>
      </c>
      <c r="E820" s="1" t="str">
        <f>TEXT(Table1[[#This Row],[Date]],"ddd")</f>
        <v>Fri</v>
      </c>
      <c r="F820" s="1" t="str">
        <f>TEXT(Table1[[#This Row],[Date]],"mmm")</f>
        <v>Mar</v>
      </c>
      <c r="G820" s="7">
        <v>7154</v>
      </c>
      <c r="H820">
        <v>133</v>
      </c>
    </row>
    <row r="821" spans="1:8" x14ac:dyDescent="0.25">
      <c r="A821" t="s">
        <v>49</v>
      </c>
      <c r="B821" t="s">
        <v>7</v>
      </c>
      <c r="C821" t="s">
        <v>11</v>
      </c>
      <c r="D821" s="2">
        <v>44735</v>
      </c>
      <c r="E821" s="1" t="str">
        <f>TEXT(Table1[[#This Row],[Date]],"ddd")</f>
        <v>Thu</v>
      </c>
      <c r="F821" s="1" t="str">
        <f>TEXT(Table1[[#This Row],[Date]],"mmm")</f>
        <v>Jun</v>
      </c>
      <c r="G821" s="7">
        <v>3997</v>
      </c>
      <c r="H821">
        <v>228</v>
      </c>
    </row>
    <row r="822" spans="1:8" x14ac:dyDescent="0.25">
      <c r="A822" t="s">
        <v>49</v>
      </c>
      <c r="B822" t="s">
        <v>26</v>
      </c>
      <c r="C822" t="s">
        <v>47</v>
      </c>
      <c r="D822" s="2">
        <v>44588</v>
      </c>
      <c r="E822" s="1" t="str">
        <f>TEXT(Table1[[#This Row],[Date]],"ddd")</f>
        <v>Thu</v>
      </c>
      <c r="F822" s="1" t="str">
        <f>TEXT(Table1[[#This Row],[Date]],"mmm")</f>
        <v>Jan</v>
      </c>
      <c r="G822" s="7">
        <v>5180</v>
      </c>
      <c r="H822">
        <v>233</v>
      </c>
    </row>
    <row r="823" spans="1:8" x14ac:dyDescent="0.25">
      <c r="A823" t="s">
        <v>33</v>
      </c>
      <c r="B823" t="s">
        <v>29</v>
      </c>
      <c r="C823" t="s">
        <v>27</v>
      </c>
      <c r="D823" s="2">
        <v>44575</v>
      </c>
      <c r="E823" s="1" t="str">
        <f>TEXT(Table1[[#This Row],[Date]],"ddd")</f>
        <v>Fri</v>
      </c>
      <c r="F823" s="1" t="str">
        <f>TEXT(Table1[[#This Row],[Date]],"mmm")</f>
        <v>Jan</v>
      </c>
      <c r="G823" s="7">
        <v>2723</v>
      </c>
      <c r="H823">
        <v>425</v>
      </c>
    </row>
    <row r="824" spans="1:8" x14ac:dyDescent="0.25">
      <c r="A824" t="s">
        <v>43</v>
      </c>
      <c r="B824" t="s">
        <v>10</v>
      </c>
      <c r="C824" t="s">
        <v>42</v>
      </c>
      <c r="D824" s="2">
        <v>44771</v>
      </c>
      <c r="E824" s="1" t="str">
        <f>TEXT(Table1[[#This Row],[Date]],"ddd")</f>
        <v>Fri</v>
      </c>
      <c r="F824" s="1" t="str">
        <f>TEXT(Table1[[#This Row],[Date]],"mmm")</f>
        <v>Jul</v>
      </c>
      <c r="G824" s="7">
        <v>952</v>
      </c>
      <c r="H824">
        <v>24</v>
      </c>
    </row>
    <row r="825" spans="1:8" x14ac:dyDescent="0.25">
      <c r="A825" t="s">
        <v>23</v>
      </c>
      <c r="B825" t="s">
        <v>29</v>
      </c>
      <c r="C825" t="s">
        <v>16</v>
      </c>
      <c r="D825" s="2">
        <v>44694</v>
      </c>
      <c r="E825" s="1" t="str">
        <f>TEXT(Table1[[#This Row],[Date]],"ddd")</f>
        <v>Fri</v>
      </c>
      <c r="F825" s="1" t="str">
        <f>TEXT(Table1[[#This Row],[Date]],"mmm")</f>
        <v>May</v>
      </c>
      <c r="G825" s="7">
        <v>5691</v>
      </c>
      <c r="H825">
        <v>495</v>
      </c>
    </row>
    <row r="826" spans="1:8" x14ac:dyDescent="0.25">
      <c r="A826" t="s">
        <v>25</v>
      </c>
      <c r="B826" t="s">
        <v>29</v>
      </c>
      <c r="C826" t="s">
        <v>56</v>
      </c>
      <c r="D826" s="2">
        <v>44595</v>
      </c>
      <c r="E826" s="1" t="str">
        <f>TEXT(Table1[[#This Row],[Date]],"ddd")</f>
        <v>Thu</v>
      </c>
      <c r="F826" s="1" t="str">
        <f>TEXT(Table1[[#This Row],[Date]],"mmm")</f>
        <v>Feb</v>
      </c>
      <c r="G826" s="7">
        <v>10969</v>
      </c>
      <c r="H826">
        <v>170</v>
      </c>
    </row>
    <row r="827" spans="1:8" x14ac:dyDescent="0.25">
      <c r="A827" t="s">
        <v>23</v>
      </c>
      <c r="B827" t="s">
        <v>10</v>
      </c>
      <c r="C827" t="s">
        <v>16</v>
      </c>
      <c r="D827" s="2">
        <v>44708</v>
      </c>
      <c r="E827" s="1" t="str">
        <f>TEXT(Table1[[#This Row],[Date]],"ddd")</f>
        <v>Fri</v>
      </c>
      <c r="F827" s="1" t="str">
        <f>TEXT(Table1[[#This Row],[Date]],"mmm")</f>
        <v>May</v>
      </c>
      <c r="G827" s="7">
        <v>5964</v>
      </c>
      <c r="H827">
        <v>26</v>
      </c>
    </row>
    <row r="828" spans="1:8" x14ac:dyDescent="0.25">
      <c r="A828" t="s">
        <v>14</v>
      </c>
      <c r="B828" t="s">
        <v>15</v>
      </c>
      <c r="C828" t="s">
        <v>32</v>
      </c>
      <c r="D828" s="2">
        <v>44610</v>
      </c>
      <c r="E828" s="1" t="str">
        <f>TEXT(Table1[[#This Row],[Date]],"ddd")</f>
        <v>Fri</v>
      </c>
      <c r="F828" s="1" t="str">
        <f>TEXT(Table1[[#This Row],[Date]],"mmm")</f>
        <v>Feb</v>
      </c>
      <c r="G828" s="7">
        <v>2821</v>
      </c>
      <c r="H828">
        <v>24</v>
      </c>
    </row>
    <row r="829" spans="1:8" x14ac:dyDescent="0.25">
      <c r="A829" t="s">
        <v>23</v>
      </c>
      <c r="B829" t="s">
        <v>10</v>
      </c>
      <c r="C829" t="s">
        <v>39</v>
      </c>
      <c r="D829" s="2">
        <v>44589</v>
      </c>
      <c r="E829" s="1" t="str">
        <f>TEXT(Table1[[#This Row],[Date]],"ddd")</f>
        <v>Fri</v>
      </c>
      <c r="F829" s="1" t="str">
        <f>TEXT(Table1[[#This Row],[Date]],"mmm")</f>
        <v>Jan</v>
      </c>
      <c r="G829" s="7">
        <v>1302</v>
      </c>
      <c r="H829">
        <v>33</v>
      </c>
    </row>
    <row r="830" spans="1:8" x14ac:dyDescent="0.25">
      <c r="A830" t="s">
        <v>9</v>
      </c>
      <c r="B830" t="s">
        <v>7</v>
      </c>
      <c r="C830" t="s">
        <v>30</v>
      </c>
      <c r="D830" s="2">
        <v>44741</v>
      </c>
      <c r="E830" s="1" t="str">
        <f>TEXT(Table1[[#This Row],[Date]],"ddd")</f>
        <v>Wed</v>
      </c>
      <c r="F830" s="1" t="str">
        <f>TEXT(Table1[[#This Row],[Date]],"mmm")</f>
        <v>Jun</v>
      </c>
      <c r="G830" s="7">
        <v>5474</v>
      </c>
      <c r="H830">
        <v>109</v>
      </c>
    </row>
    <row r="831" spans="1:8" x14ac:dyDescent="0.25">
      <c r="A831" t="s">
        <v>46</v>
      </c>
      <c r="B831" t="s">
        <v>10</v>
      </c>
      <c r="C831" t="s">
        <v>57</v>
      </c>
      <c r="D831" s="2">
        <v>44574</v>
      </c>
      <c r="E831" s="1" t="str">
        <f>TEXT(Table1[[#This Row],[Date]],"ddd")</f>
        <v>Thu</v>
      </c>
      <c r="F831" s="1" t="str">
        <f>TEXT(Table1[[#This Row],[Date]],"mmm")</f>
        <v>Jan</v>
      </c>
      <c r="G831" s="7">
        <v>4179</v>
      </c>
      <c r="H831">
        <v>276</v>
      </c>
    </row>
    <row r="832" spans="1:8" x14ac:dyDescent="0.25">
      <c r="A832" t="s">
        <v>6</v>
      </c>
      <c r="B832" t="s">
        <v>7</v>
      </c>
      <c r="C832" t="s">
        <v>20</v>
      </c>
      <c r="D832" s="2">
        <v>44739</v>
      </c>
      <c r="E832" s="1" t="str">
        <f>TEXT(Table1[[#This Row],[Date]],"ddd")</f>
        <v>Mon</v>
      </c>
      <c r="F832" s="1" t="str">
        <f>TEXT(Table1[[#This Row],[Date]],"mmm")</f>
        <v>Jun</v>
      </c>
      <c r="G832" s="7">
        <v>1946</v>
      </c>
      <c r="H832">
        <v>164</v>
      </c>
    </row>
    <row r="833" spans="1:8" x14ac:dyDescent="0.25">
      <c r="A833" t="s">
        <v>25</v>
      </c>
      <c r="B833" t="s">
        <v>29</v>
      </c>
      <c r="C833" t="s">
        <v>44</v>
      </c>
      <c r="D833" s="2">
        <v>44649</v>
      </c>
      <c r="E833" s="1" t="str">
        <f>TEXT(Table1[[#This Row],[Date]],"ddd")</f>
        <v>Tue</v>
      </c>
      <c r="F833" s="1" t="str">
        <f>TEXT(Table1[[#This Row],[Date]],"mmm")</f>
        <v>Mar</v>
      </c>
      <c r="G833" s="7">
        <v>4291</v>
      </c>
      <c r="H833">
        <v>1</v>
      </c>
    </row>
    <row r="834" spans="1:8" x14ac:dyDescent="0.25">
      <c r="A834" t="s">
        <v>19</v>
      </c>
      <c r="B834" t="s">
        <v>10</v>
      </c>
      <c r="C834" t="s">
        <v>35</v>
      </c>
      <c r="D834" s="2">
        <v>44715</v>
      </c>
      <c r="E834" s="1" t="str">
        <f>TEXT(Table1[[#This Row],[Date]],"ddd")</f>
        <v>Fri</v>
      </c>
      <c r="F834" s="1" t="str">
        <f>TEXT(Table1[[#This Row],[Date]],"mmm")</f>
        <v>Jun</v>
      </c>
      <c r="G834" s="7">
        <v>7196</v>
      </c>
      <c r="H834">
        <v>160</v>
      </c>
    </row>
    <row r="835" spans="1:8" x14ac:dyDescent="0.25">
      <c r="A835" t="s">
        <v>28</v>
      </c>
      <c r="B835" t="s">
        <v>29</v>
      </c>
      <c r="C835" t="s">
        <v>16</v>
      </c>
      <c r="D835" s="2">
        <v>44641</v>
      </c>
      <c r="E835" s="1" t="str">
        <f>TEXT(Table1[[#This Row],[Date]],"ddd")</f>
        <v>Mon</v>
      </c>
      <c r="F835" s="1" t="str">
        <f>TEXT(Table1[[#This Row],[Date]],"mmm")</f>
        <v>Mar</v>
      </c>
      <c r="G835" s="7">
        <v>1939</v>
      </c>
      <c r="H835">
        <v>98</v>
      </c>
    </row>
    <row r="836" spans="1:8" x14ac:dyDescent="0.25">
      <c r="A836" t="s">
        <v>28</v>
      </c>
      <c r="B836" t="s">
        <v>10</v>
      </c>
      <c r="C836" t="s">
        <v>30</v>
      </c>
      <c r="D836" s="2">
        <v>44663</v>
      </c>
      <c r="E836" s="1" t="str">
        <f>TEXT(Table1[[#This Row],[Date]],"ddd")</f>
        <v>Tue</v>
      </c>
      <c r="F836" s="1" t="str">
        <f>TEXT(Table1[[#This Row],[Date]],"mmm")</f>
        <v>Apr</v>
      </c>
      <c r="G836" s="7">
        <v>10437</v>
      </c>
      <c r="H836">
        <v>46</v>
      </c>
    </row>
    <row r="837" spans="1:8" x14ac:dyDescent="0.25">
      <c r="A837" t="s">
        <v>24</v>
      </c>
      <c r="B837" t="s">
        <v>15</v>
      </c>
      <c r="C837" t="s">
        <v>51</v>
      </c>
      <c r="D837" s="2">
        <v>44580</v>
      </c>
      <c r="E837" s="1" t="str">
        <f>TEXT(Table1[[#This Row],[Date]],"ddd")</f>
        <v>Wed</v>
      </c>
      <c r="F837" s="1" t="str">
        <f>TEXT(Table1[[#This Row],[Date]],"mmm")</f>
        <v>Jan</v>
      </c>
      <c r="G837" s="7">
        <v>6916</v>
      </c>
      <c r="H837">
        <v>259</v>
      </c>
    </row>
    <row r="838" spans="1:8" x14ac:dyDescent="0.25">
      <c r="A838" t="s">
        <v>31</v>
      </c>
      <c r="B838" t="s">
        <v>7</v>
      </c>
      <c r="C838" t="s">
        <v>22</v>
      </c>
      <c r="D838" s="2">
        <v>44657</v>
      </c>
      <c r="E838" s="1" t="str">
        <f>TEXT(Table1[[#This Row],[Date]],"ddd")</f>
        <v>Wed</v>
      </c>
      <c r="F838" s="1" t="str">
        <f>TEXT(Table1[[#This Row],[Date]],"mmm")</f>
        <v>Apr</v>
      </c>
      <c r="G838" s="7">
        <v>3647</v>
      </c>
      <c r="H838">
        <v>310</v>
      </c>
    </row>
    <row r="839" spans="1:8" x14ac:dyDescent="0.25">
      <c r="A839" t="s">
        <v>41</v>
      </c>
      <c r="B839" t="s">
        <v>15</v>
      </c>
      <c r="C839" t="s">
        <v>22</v>
      </c>
      <c r="D839" s="2">
        <v>44775</v>
      </c>
      <c r="E839" s="1" t="str">
        <f>TEXT(Table1[[#This Row],[Date]],"ddd")</f>
        <v>Tue</v>
      </c>
      <c r="F839" s="1" t="str">
        <f>TEXT(Table1[[#This Row],[Date]],"mmm")</f>
        <v>Aug</v>
      </c>
      <c r="G839" s="7">
        <v>8995</v>
      </c>
      <c r="H839">
        <v>78</v>
      </c>
    </row>
    <row r="840" spans="1:8" x14ac:dyDescent="0.25">
      <c r="A840" t="s">
        <v>12</v>
      </c>
      <c r="B840" t="s">
        <v>15</v>
      </c>
      <c r="C840" t="s">
        <v>30</v>
      </c>
      <c r="D840" s="2">
        <v>44663</v>
      </c>
      <c r="E840" s="1" t="str">
        <f>TEXT(Table1[[#This Row],[Date]],"ddd")</f>
        <v>Tue</v>
      </c>
      <c r="F840" s="1" t="str">
        <f>TEXT(Table1[[#This Row],[Date]],"mmm")</f>
        <v>Apr</v>
      </c>
      <c r="G840" s="7">
        <v>7252</v>
      </c>
      <c r="H840">
        <v>136</v>
      </c>
    </row>
    <row r="841" spans="1:8" x14ac:dyDescent="0.25">
      <c r="A841" t="s">
        <v>17</v>
      </c>
      <c r="B841" t="s">
        <v>10</v>
      </c>
      <c r="C841" t="s">
        <v>32</v>
      </c>
      <c r="D841" s="2">
        <v>44763</v>
      </c>
      <c r="E841" s="1" t="str">
        <f>TEXT(Table1[[#This Row],[Date]],"ddd")</f>
        <v>Thu</v>
      </c>
      <c r="F841" s="1" t="str">
        <f>TEXT(Table1[[#This Row],[Date]],"mmm")</f>
        <v>Jul</v>
      </c>
      <c r="G841" s="7">
        <v>16380</v>
      </c>
      <c r="H841">
        <v>130</v>
      </c>
    </row>
    <row r="842" spans="1:8" x14ac:dyDescent="0.25">
      <c r="A842" t="s">
        <v>9</v>
      </c>
      <c r="B842" t="s">
        <v>21</v>
      </c>
      <c r="C842" t="s">
        <v>56</v>
      </c>
      <c r="D842" s="2">
        <v>44642</v>
      </c>
      <c r="E842" s="1" t="str">
        <f>TEXT(Table1[[#This Row],[Date]],"ddd")</f>
        <v>Tue</v>
      </c>
      <c r="F842" s="1" t="str">
        <f>TEXT(Table1[[#This Row],[Date]],"mmm")</f>
        <v>Mar</v>
      </c>
      <c r="G842" s="7">
        <v>9660</v>
      </c>
      <c r="H842">
        <v>24</v>
      </c>
    </row>
    <row r="843" spans="1:8" x14ac:dyDescent="0.25">
      <c r="A843" t="s">
        <v>40</v>
      </c>
      <c r="B843" t="s">
        <v>10</v>
      </c>
      <c r="C843" t="s">
        <v>13</v>
      </c>
      <c r="D843" s="2">
        <v>44690</v>
      </c>
      <c r="E843" s="1" t="str">
        <f>TEXT(Table1[[#This Row],[Date]],"ddd")</f>
        <v>Mon</v>
      </c>
      <c r="F843" s="1" t="str">
        <f>TEXT(Table1[[#This Row],[Date]],"mmm")</f>
        <v>May</v>
      </c>
      <c r="G843" s="7">
        <v>4522</v>
      </c>
      <c r="H843">
        <v>5</v>
      </c>
    </row>
    <row r="844" spans="1:8" x14ac:dyDescent="0.25">
      <c r="A844" t="s">
        <v>48</v>
      </c>
      <c r="B844" t="s">
        <v>15</v>
      </c>
      <c r="C844" t="s">
        <v>56</v>
      </c>
      <c r="D844" s="2">
        <v>44782</v>
      </c>
      <c r="E844" s="1" t="str">
        <f>TEXT(Table1[[#This Row],[Date]],"ddd")</f>
        <v>Tue</v>
      </c>
      <c r="F844" s="1" t="str">
        <f>TEXT(Table1[[#This Row],[Date]],"mmm")</f>
        <v>Aug</v>
      </c>
      <c r="G844" s="7">
        <v>329</v>
      </c>
      <c r="H844">
        <v>109</v>
      </c>
    </row>
    <row r="845" spans="1:8" x14ac:dyDescent="0.25">
      <c r="A845" t="s">
        <v>53</v>
      </c>
      <c r="B845" t="s">
        <v>29</v>
      </c>
      <c r="C845" t="s">
        <v>52</v>
      </c>
      <c r="D845" s="2">
        <v>44762</v>
      </c>
      <c r="E845" s="1" t="str">
        <f>TEXT(Table1[[#This Row],[Date]],"ddd")</f>
        <v>Wed</v>
      </c>
      <c r="F845" s="1" t="str">
        <f>TEXT(Table1[[#This Row],[Date]],"mmm")</f>
        <v>Jul</v>
      </c>
      <c r="G845" s="7">
        <v>3458</v>
      </c>
      <c r="H845">
        <v>294</v>
      </c>
    </row>
    <row r="846" spans="1:8" x14ac:dyDescent="0.25">
      <c r="A846" t="s">
        <v>23</v>
      </c>
      <c r="B846" t="s">
        <v>10</v>
      </c>
      <c r="C846" t="s">
        <v>58</v>
      </c>
      <c r="D846" s="2">
        <v>44665</v>
      </c>
      <c r="E846" s="1" t="str">
        <f>TEXT(Table1[[#This Row],[Date]],"ddd")</f>
        <v>Thu</v>
      </c>
      <c r="F846" s="1" t="str">
        <f>TEXT(Table1[[#This Row],[Date]],"mmm")</f>
        <v>Apr</v>
      </c>
      <c r="G846" s="7">
        <v>4641</v>
      </c>
      <c r="H846">
        <v>413</v>
      </c>
    </row>
    <row r="847" spans="1:8" x14ac:dyDescent="0.25">
      <c r="A847" t="s">
        <v>6</v>
      </c>
      <c r="B847" t="s">
        <v>29</v>
      </c>
      <c r="C847" t="s">
        <v>44</v>
      </c>
      <c r="D847" s="2">
        <v>44586</v>
      </c>
      <c r="E847" s="1" t="str">
        <f>TEXT(Table1[[#This Row],[Date]],"ddd")</f>
        <v>Tue</v>
      </c>
      <c r="F847" s="1" t="str">
        <f>TEXT(Table1[[#This Row],[Date]],"mmm")</f>
        <v>Jan</v>
      </c>
      <c r="G847" s="7">
        <v>4627</v>
      </c>
      <c r="H847">
        <v>136</v>
      </c>
    </row>
    <row r="848" spans="1:8" x14ac:dyDescent="0.25">
      <c r="A848" t="s">
        <v>48</v>
      </c>
      <c r="B848" t="s">
        <v>15</v>
      </c>
      <c r="C848" t="s">
        <v>47</v>
      </c>
      <c r="D848" s="2">
        <v>44676</v>
      </c>
      <c r="E848" s="1" t="str">
        <f>TEXT(Table1[[#This Row],[Date]],"ddd")</f>
        <v>Mon</v>
      </c>
      <c r="F848" s="1" t="str">
        <f>TEXT(Table1[[#This Row],[Date]],"mmm")</f>
        <v>Apr</v>
      </c>
      <c r="G848" s="7">
        <v>3192</v>
      </c>
      <c r="H848">
        <v>175</v>
      </c>
    </row>
    <row r="849" spans="1:8" x14ac:dyDescent="0.25">
      <c r="A849" t="s">
        <v>54</v>
      </c>
      <c r="B849" t="s">
        <v>29</v>
      </c>
      <c r="C849" t="s">
        <v>20</v>
      </c>
      <c r="D849" s="2">
        <v>44578</v>
      </c>
      <c r="E849" s="1" t="str">
        <f>TEXT(Table1[[#This Row],[Date]],"ddd")</f>
        <v>Mon</v>
      </c>
      <c r="F849" s="1" t="str">
        <f>TEXT(Table1[[#This Row],[Date]],"mmm")</f>
        <v>Jan</v>
      </c>
      <c r="G849" s="7">
        <v>252</v>
      </c>
      <c r="H849">
        <v>237</v>
      </c>
    </row>
    <row r="850" spans="1:8" x14ac:dyDescent="0.25">
      <c r="A850" t="s">
        <v>31</v>
      </c>
      <c r="B850" t="s">
        <v>26</v>
      </c>
      <c r="C850" t="s">
        <v>30</v>
      </c>
      <c r="D850" s="2">
        <v>44788</v>
      </c>
      <c r="E850" s="1" t="str">
        <f>TEXT(Table1[[#This Row],[Date]],"ddd")</f>
        <v>Mon</v>
      </c>
      <c r="F850" s="1" t="str">
        <f>TEXT(Table1[[#This Row],[Date]],"mmm")</f>
        <v>Aug</v>
      </c>
      <c r="G850" s="7">
        <v>868</v>
      </c>
      <c r="H850">
        <v>125</v>
      </c>
    </row>
    <row r="851" spans="1:8" x14ac:dyDescent="0.25">
      <c r="A851" t="s">
        <v>31</v>
      </c>
      <c r="B851" t="s">
        <v>29</v>
      </c>
      <c r="C851" t="s">
        <v>42</v>
      </c>
      <c r="D851" s="2">
        <v>44714</v>
      </c>
      <c r="E851" s="1" t="str">
        <f>TEXT(Table1[[#This Row],[Date]],"ddd")</f>
        <v>Thu</v>
      </c>
      <c r="F851" s="1" t="str">
        <f>TEXT(Table1[[#This Row],[Date]],"mmm")</f>
        <v>Jun</v>
      </c>
      <c r="G851" s="7">
        <v>210</v>
      </c>
      <c r="H851">
        <v>16</v>
      </c>
    </row>
    <row r="852" spans="1:8" x14ac:dyDescent="0.25">
      <c r="A852" t="s">
        <v>19</v>
      </c>
      <c r="B852" t="s">
        <v>26</v>
      </c>
      <c r="C852" t="s">
        <v>11</v>
      </c>
      <c r="D852" s="2">
        <v>44742</v>
      </c>
      <c r="E852" s="1" t="str">
        <f>TEXT(Table1[[#This Row],[Date]],"ddd")</f>
        <v>Thu</v>
      </c>
      <c r="F852" s="1" t="str">
        <f>TEXT(Table1[[#This Row],[Date]],"mmm")</f>
        <v>Jun</v>
      </c>
      <c r="G852" s="7">
        <v>7007</v>
      </c>
      <c r="H852">
        <v>135</v>
      </c>
    </row>
    <row r="853" spans="1:8" x14ac:dyDescent="0.25">
      <c r="A853" t="s">
        <v>54</v>
      </c>
      <c r="B853" t="s">
        <v>21</v>
      </c>
      <c r="C853" t="s">
        <v>51</v>
      </c>
      <c r="D853" s="2">
        <v>44602</v>
      </c>
      <c r="E853" s="1" t="str">
        <f>TEXT(Table1[[#This Row],[Date]],"ddd")</f>
        <v>Thu</v>
      </c>
      <c r="F853" s="1" t="str">
        <f>TEXT(Table1[[#This Row],[Date]],"mmm")</f>
        <v>Feb</v>
      </c>
      <c r="G853" s="7">
        <v>5845</v>
      </c>
      <c r="H853">
        <v>91</v>
      </c>
    </row>
    <row r="854" spans="1:8" x14ac:dyDescent="0.25">
      <c r="A854" t="s">
        <v>33</v>
      </c>
      <c r="B854" t="s">
        <v>29</v>
      </c>
      <c r="C854" t="s">
        <v>57</v>
      </c>
      <c r="D854" s="2">
        <v>44615</v>
      </c>
      <c r="E854" s="1" t="str">
        <f>TEXT(Table1[[#This Row],[Date]],"ddd")</f>
        <v>Wed</v>
      </c>
      <c r="F854" s="1" t="str">
        <f>TEXT(Table1[[#This Row],[Date]],"mmm")</f>
        <v>Feb</v>
      </c>
      <c r="G854" s="7">
        <v>1372</v>
      </c>
      <c r="H854">
        <v>614</v>
      </c>
    </row>
    <row r="855" spans="1:8" x14ac:dyDescent="0.25">
      <c r="A855" t="s">
        <v>43</v>
      </c>
      <c r="B855" t="s">
        <v>10</v>
      </c>
      <c r="C855" t="s">
        <v>35</v>
      </c>
      <c r="D855" s="2">
        <v>44588</v>
      </c>
      <c r="E855" s="1" t="str">
        <f>TEXT(Table1[[#This Row],[Date]],"ddd")</f>
        <v>Thu</v>
      </c>
      <c r="F855" s="1" t="str">
        <f>TEXT(Table1[[#This Row],[Date]],"mmm")</f>
        <v>Jan</v>
      </c>
      <c r="G855" s="7">
        <v>8428</v>
      </c>
      <c r="H855">
        <v>216</v>
      </c>
    </row>
    <row r="856" spans="1:8" x14ac:dyDescent="0.25">
      <c r="A856" t="s">
        <v>50</v>
      </c>
      <c r="B856" t="s">
        <v>7</v>
      </c>
      <c r="C856" t="s">
        <v>8</v>
      </c>
      <c r="D856" s="2">
        <v>44707</v>
      </c>
      <c r="E856" s="1" t="str">
        <f>TEXT(Table1[[#This Row],[Date]],"ddd")</f>
        <v>Thu</v>
      </c>
      <c r="F856" s="1" t="str">
        <f>TEXT(Table1[[#This Row],[Date]],"mmm")</f>
        <v>May</v>
      </c>
      <c r="G856" s="7">
        <v>4977</v>
      </c>
      <c r="H856">
        <v>317</v>
      </c>
    </row>
    <row r="857" spans="1:8" x14ac:dyDescent="0.25">
      <c r="A857" t="s">
        <v>23</v>
      </c>
      <c r="B857" t="s">
        <v>26</v>
      </c>
      <c r="C857" t="s">
        <v>58</v>
      </c>
      <c r="D857" s="2">
        <v>44665</v>
      </c>
      <c r="E857" s="1" t="str">
        <f>TEXT(Table1[[#This Row],[Date]],"ddd")</f>
        <v>Thu</v>
      </c>
      <c r="F857" s="1" t="str">
        <f>TEXT(Table1[[#This Row],[Date]],"mmm")</f>
        <v>Apr</v>
      </c>
      <c r="G857" s="7">
        <v>1694</v>
      </c>
      <c r="H857">
        <v>21</v>
      </c>
    </row>
    <row r="858" spans="1:8" x14ac:dyDescent="0.25">
      <c r="A858" t="s">
        <v>53</v>
      </c>
      <c r="B858" t="s">
        <v>15</v>
      </c>
      <c r="C858" t="s">
        <v>18</v>
      </c>
      <c r="D858" s="2">
        <v>44774</v>
      </c>
      <c r="E858" s="1" t="str">
        <f>TEXT(Table1[[#This Row],[Date]],"ddd")</f>
        <v>Mon</v>
      </c>
      <c r="F858" s="1" t="str">
        <f>TEXT(Table1[[#This Row],[Date]],"mmm")</f>
        <v>Aug</v>
      </c>
      <c r="G858" s="7">
        <v>4326</v>
      </c>
      <c r="H858">
        <v>154</v>
      </c>
    </row>
    <row r="859" spans="1:8" x14ac:dyDescent="0.25">
      <c r="A859" t="s">
        <v>28</v>
      </c>
      <c r="B859" t="s">
        <v>15</v>
      </c>
      <c r="C859" t="s">
        <v>30</v>
      </c>
      <c r="D859" s="2">
        <v>44795</v>
      </c>
      <c r="E859" s="1" t="str">
        <f>TEXT(Table1[[#This Row],[Date]],"ddd")</f>
        <v>Mon</v>
      </c>
      <c r="F859" s="1" t="str">
        <f>TEXT(Table1[[#This Row],[Date]],"mmm")</f>
        <v>Aug</v>
      </c>
      <c r="G859" s="7">
        <v>9527</v>
      </c>
      <c r="H859">
        <v>222</v>
      </c>
    </row>
    <row r="860" spans="1:8" x14ac:dyDescent="0.25">
      <c r="A860" t="s">
        <v>33</v>
      </c>
      <c r="B860" t="s">
        <v>10</v>
      </c>
      <c r="C860" t="s">
        <v>18</v>
      </c>
      <c r="D860" s="2">
        <v>44764</v>
      </c>
      <c r="E860" s="1" t="str">
        <f>TEXT(Table1[[#This Row],[Date]],"ddd")</f>
        <v>Fri</v>
      </c>
      <c r="F860" s="1" t="str">
        <f>TEXT(Table1[[#This Row],[Date]],"mmm")</f>
        <v>Jul</v>
      </c>
      <c r="G860" s="7">
        <v>10766</v>
      </c>
      <c r="H860">
        <v>157</v>
      </c>
    </row>
    <row r="861" spans="1:8" x14ac:dyDescent="0.25">
      <c r="A861" t="s">
        <v>40</v>
      </c>
      <c r="B861" t="s">
        <v>26</v>
      </c>
      <c r="C861" t="s">
        <v>42</v>
      </c>
      <c r="D861" s="2">
        <v>44679</v>
      </c>
      <c r="E861" s="1" t="str">
        <f>TEXT(Table1[[#This Row],[Date]],"ddd")</f>
        <v>Thu</v>
      </c>
      <c r="F861" s="1" t="str">
        <f>TEXT(Table1[[#This Row],[Date]],"mmm")</f>
        <v>Apr</v>
      </c>
      <c r="G861" s="7">
        <v>1288</v>
      </c>
      <c r="H861">
        <v>27</v>
      </c>
    </row>
    <row r="862" spans="1:8" x14ac:dyDescent="0.25">
      <c r="A862" t="s">
        <v>49</v>
      </c>
      <c r="B862" t="s">
        <v>15</v>
      </c>
      <c r="C862" t="s">
        <v>47</v>
      </c>
      <c r="D862" s="2">
        <v>44711</v>
      </c>
      <c r="E862" s="1" t="str">
        <f>TEXT(Table1[[#This Row],[Date]],"ddd")</f>
        <v>Mon</v>
      </c>
      <c r="F862" s="1" t="str">
        <f>TEXT(Table1[[#This Row],[Date]],"mmm")</f>
        <v>May</v>
      </c>
      <c r="G862" s="7">
        <v>4879</v>
      </c>
      <c r="H862">
        <v>350</v>
      </c>
    </row>
    <row r="863" spans="1:8" x14ac:dyDescent="0.25">
      <c r="A863" t="s">
        <v>55</v>
      </c>
      <c r="B863" t="s">
        <v>26</v>
      </c>
      <c r="C863" t="s">
        <v>37</v>
      </c>
      <c r="D863" s="2">
        <v>44763</v>
      </c>
      <c r="E863" s="1" t="str">
        <f>TEXT(Table1[[#This Row],[Date]],"ddd")</f>
        <v>Thu</v>
      </c>
      <c r="F863" s="1" t="str">
        <f>TEXT(Table1[[#This Row],[Date]],"mmm")</f>
        <v>Jul</v>
      </c>
      <c r="G863" s="7">
        <v>2408</v>
      </c>
      <c r="H863">
        <v>157</v>
      </c>
    </row>
    <row r="864" spans="1:8" x14ac:dyDescent="0.25">
      <c r="A864" t="s">
        <v>14</v>
      </c>
      <c r="B864" t="s">
        <v>7</v>
      </c>
      <c r="C864" t="s">
        <v>57</v>
      </c>
      <c r="D864" s="2">
        <v>44775</v>
      </c>
      <c r="E864" s="1" t="str">
        <f>TEXT(Table1[[#This Row],[Date]],"ddd")</f>
        <v>Tue</v>
      </c>
      <c r="F864" s="1" t="str">
        <f>TEXT(Table1[[#This Row],[Date]],"mmm")</f>
        <v>Aug</v>
      </c>
      <c r="G864" s="7">
        <v>3094</v>
      </c>
      <c r="H864">
        <v>468</v>
      </c>
    </row>
    <row r="865" spans="1:8" x14ac:dyDescent="0.25">
      <c r="A865" t="s">
        <v>23</v>
      </c>
      <c r="B865" t="s">
        <v>21</v>
      </c>
      <c r="C865" t="s">
        <v>58</v>
      </c>
      <c r="D865" s="2">
        <v>44727</v>
      </c>
      <c r="E865" s="1" t="str">
        <f>TEXT(Table1[[#This Row],[Date]],"ddd")</f>
        <v>Wed</v>
      </c>
      <c r="F865" s="1" t="str">
        <f>TEXT(Table1[[#This Row],[Date]],"mmm")</f>
        <v>Jun</v>
      </c>
      <c r="G865" s="7">
        <v>7231</v>
      </c>
      <c r="H865">
        <v>130</v>
      </c>
    </row>
    <row r="866" spans="1:8" x14ac:dyDescent="0.25">
      <c r="A866" t="s">
        <v>17</v>
      </c>
      <c r="B866" t="s">
        <v>10</v>
      </c>
      <c r="C866" t="s">
        <v>11</v>
      </c>
      <c r="D866" s="2">
        <v>44747</v>
      </c>
      <c r="E866" s="1" t="str">
        <f>TEXT(Table1[[#This Row],[Date]],"ddd")</f>
        <v>Tue</v>
      </c>
      <c r="F866" s="1" t="str">
        <f>TEXT(Table1[[#This Row],[Date]],"mmm")</f>
        <v>Jul</v>
      </c>
      <c r="G866" s="7">
        <v>8981</v>
      </c>
      <c r="H866">
        <v>130</v>
      </c>
    </row>
    <row r="867" spans="1:8" x14ac:dyDescent="0.25">
      <c r="A867" t="s">
        <v>41</v>
      </c>
      <c r="B867" t="s">
        <v>21</v>
      </c>
      <c r="C867" t="s">
        <v>16</v>
      </c>
      <c r="D867" s="2">
        <v>44663</v>
      </c>
      <c r="E867" s="1" t="str">
        <f>TEXT(Table1[[#This Row],[Date]],"ddd")</f>
        <v>Tue</v>
      </c>
      <c r="F867" s="1" t="str">
        <f>TEXT(Table1[[#This Row],[Date]],"mmm")</f>
        <v>Apr</v>
      </c>
      <c r="G867" s="7">
        <v>7</v>
      </c>
      <c r="H867">
        <v>518</v>
      </c>
    </row>
    <row r="868" spans="1:8" x14ac:dyDescent="0.25">
      <c r="A868" t="s">
        <v>12</v>
      </c>
      <c r="B868" t="s">
        <v>15</v>
      </c>
      <c r="C868" t="s">
        <v>58</v>
      </c>
      <c r="D868" s="2">
        <v>44791</v>
      </c>
      <c r="E868" s="1" t="str">
        <f>TEXT(Table1[[#This Row],[Date]],"ddd")</f>
        <v>Thu</v>
      </c>
      <c r="F868" s="1" t="str">
        <f>TEXT(Table1[[#This Row],[Date]],"mmm")</f>
        <v>Aug</v>
      </c>
      <c r="G868" s="7">
        <v>1372</v>
      </c>
      <c r="H868">
        <v>105</v>
      </c>
    </row>
    <row r="869" spans="1:8" x14ac:dyDescent="0.25">
      <c r="A869" t="s">
        <v>14</v>
      </c>
      <c r="B869" t="s">
        <v>7</v>
      </c>
      <c r="C869" t="s">
        <v>22</v>
      </c>
      <c r="D869" s="2">
        <v>44573</v>
      </c>
      <c r="E869" s="1" t="str">
        <f>TEXT(Table1[[#This Row],[Date]],"ddd")</f>
        <v>Wed</v>
      </c>
      <c r="F869" s="1" t="str">
        <f>TEXT(Table1[[#This Row],[Date]],"mmm")</f>
        <v>Jan</v>
      </c>
      <c r="G869" s="7">
        <v>5250</v>
      </c>
      <c r="H869">
        <v>293</v>
      </c>
    </row>
    <row r="870" spans="1:8" x14ac:dyDescent="0.25">
      <c r="A870" t="s">
        <v>19</v>
      </c>
      <c r="B870" t="s">
        <v>29</v>
      </c>
      <c r="C870" t="s">
        <v>44</v>
      </c>
      <c r="D870" s="2">
        <v>44784</v>
      </c>
      <c r="E870" s="1" t="str">
        <f>TEXT(Table1[[#This Row],[Date]],"ddd")</f>
        <v>Thu</v>
      </c>
      <c r="F870" s="1" t="str">
        <f>TEXT(Table1[[#This Row],[Date]],"mmm")</f>
        <v>Aug</v>
      </c>
      <c r="G870" s="7">
        <v>7560</v>
      </c>
      <c r="H870">
        <v>15</v>
      </c>
    </row>
    <row r="871" spans="1:8" x14ac:dyDescent="0.25">
      <c r="A871" t="s">
        <v>6</v>
      </c>
      <c r="B871" t="s">
        <v>15</v>
      </c>
      <c r="C871" t="s">
        <v>39</v>
      </c>
      <c r="D871" s="2">
        <v>44574</v>
      </c>
      <c r="E871" s="1" t="str">
        <f>TEXT(Table1[[#This Row],[Date]],"ddd")</f>
        <v>Thu</v>
      </c>
      <c r="F871" s="1" t="str">
        <f>TEXT(Table1[[#This Row],[Date]],"mmm")</f>
        <v>Jan</v>
      </c>
      <c r="G871" s="7">
        <v>5012</v>
      </c>
      <c r="H871">
        <v>384</v>
      </c>
    </row>
    <row r="872" spans="1:8" x14ac:dyDescent="0.25">
      <c r="A872" t="s">
        <v>40</v>
      </c>
      <c r="B872" t="s">
        <v>7</v>
      </c>
      <c r="C872" t="s">
        <v>56</v>
      </c>
      <c r="D872" s="2">
        <v>44680</v>
      </c>
      <c r="E872" s="1" t="str">
        <f>TEXT(Table1[[#This Row],[Date]],"ddd")</f>
        <v>Fri</v>
      </c>
      <c r="F872" s="1" t="str">
        <f>TEXT(Table1[[#This Row],[Date]],"mmm")</f>
        <v>Apr</v>
      </c>
      <c r="G872" s="7">
        <v>3038</v>
      </c>
      <c r="H872">
        <v>135</v>
      </c>
    </row>
    <row r="873" spans="1:8" x14ac:dyDescent="0.25">
      <c r="A873" t="s">
        <v>24</v>
      </c>
      <c r="B873" t="s">
        <v>21</v>
      </c>
      <c r="C873" t="s">
        <v>20</v>
      </c>
      <c r="D873" s="2">
        <v>44749</v>
      </c>
      <c r="E873" s="1" t="str">
        <f>TEXT(Table1[[#This Row],[Date]],"ddd")</f>
        <v>Thu</v>
      </c>
      <c r="F873" s="1" t="str">
        <f>TEXT(Table1[[#This Row],[Date]],"mmm")</f>
        <v>Jul</v>
      </c>
      <c r="G873" s="7">
        <v>1099</v>
      </c>
      <c r="H873">
        <v>92</v>
      </c>
    </row>
    <row r="874" spans="1:8" x14ac:dyDescent="0.25">
      <c r="A874" t="s">
        <v>53</v>
      </c>
      <c r="B874" t="s">
        <v>21</v>
      </c>
      <c r="C874" t="s">
        <v>8</v>
      </c>
      <c r="D874" s="2">
        <v>44631</v>
      </c>
      <c r="E874" s="1" t="str">
        <f>TEXT(Table1[[#This Row],[Date]],"ddd")</f>
        <v>Fri</v>
      </c>
      <c r="F874" s="1" t="str">
        <f>TEXT(Table1[[#This Row],[Date]],"mmm")</f>
        <v>Mar</v>
      </c>
      <c r="G874" s="7">
        <v>7413</v>
      </c>
      <c r="H874">
        <v>4</v>
      </c>
    </row>
    <row r="875" spans="1:8" x14ac:dyDescent="0.25">
      <c r="A875" t="s">
        <v>53</v>
      </c>
      <c r="B875" t="s">
        <v>7</v>
      </c>
      <c r="C875" t="s">
        <v>58</v>
      </c>
      <c r="D875" s="2">
        <v>44608</v>
      </c>
      <c r="E875" s="1" t="str">
        <f>TEXT(Table1[[#This Row],[Date]],"ddd")</f>
        <v>Wed</v>
      </c>
      <c r="F875" s="1" t="str">
        <f>TEXT(Table1[[#This Row],[Date]],"mmm")</f>
        <v>Feb</v>
      </c>
      <c r="G875" s="7">
        <v>5397</v>
      </c>
      <c r="H875">
        <v>239</v>
      </c>
    </row>
    <row r="876" spans="1:8" x14ac:dyDescent="0.25">
      <c r="A876" t="s">
        <v>25</v>
      </c>
      <c r="B876" t="s">
        <v>15</v>
      </c>
      <c r="C876" t="s">
        <v>35</v>
      </c>
      <c r="D876" s="2">
        <v>44568</v>
      </c>
      <c r="E876" s="1" t="str">
        <f>TEXT(Table1[[#This Row],[Date]],"ddd")</f>
        <v>Fri</v>
      </c>
      <c r="F876" s="1" t="str">
        <f>TEXT(Table1[[#This Row],[Date]],"mmm")</f>
        <v>Jan</v>
      </c>
      <c r="G876" s="7">
        <v>2303</v>
      </c>
      <c r="H876">
        <v>33</v>
      </c>
    </row>
    <row r="877" spans="1:8" x14ac:dyDescent="0.25">
      <c r="A877" t="s">
        <v>34</v>
      </c>
      <c r="B877" t="s">
        <v>21</v>
      </c>
      <c r="C877" t="s">
        <v>32</v>
      </c>
      <c r="D877" s="2">
        <v>44573</v>
      </c>
      <c r="E877" s="1" t="str">
        <f>TEXT(Table1[[#This Row],[Date]],"ddd")</f>
        <v>Wed</v>
      </c>
      <c r="F877" s="1" t="str">
        <f>TEXT(Table1[[#This Row],[Date]],"mmm")</f>
        <v>Jan</v>
      </c>
      <c r="G877" s="7">
        <v>1141</v>
      </c>
      <c r="H877">
        <v>518</v>
      </c>
    </row>
    <row r="878" spans="1:8" x14ac:dyDescent="0.25">
      <c r="A878" t="s">
        <v>34</v>
      </c>
      <c r="B878" t="s">
        <v>10</v>
      </c>
      <c r="C878" t="s">
        <v>30</v>
      </c>
      <c r="D878" s="2">
        <v>44721</v>
      </c>
      <c r="E878" s="1" t="str">
        <f>TEXT(Table1[[#This Row],[Date]],"ddd")</f>
        <v>Thu</v>
      </c>
      <c r="F878" s="1" t="str">
        <f>TEXT(Table1[[#This Row],[Date]],"mmm")</f>
        <v>Jun</v>
      </c>
      <c r="G878" s="7">
        <v>10325</v>
      </c>
      <c r="H878">
        <v>147</v>
      </c>
    </row>
    <row r="879" spans="1:8" x14ac:dyDescent="0.25">
      <c r="A879" t="s">
        <v>48</v>
      </c>
      <c r="B879" t="s">
        <v>10</v>
      </c>
      <c r="C879" t="s">
        <v>30</v>
      </c>
      <c r="D879" s="2">
        <v>44697</v>
      </c>
      <c r="E879" s="1" t="str">
        <f>TEXT(Table1[[#This Row],[Date]],"ddd")</f>
        <v>Mon</v>
      </c>
      <c r="F879" s="1" t="str">
        <f>TEXT(Table1[[#This Row],[Date]],"mmm")</f>
        <v>May</v>
      </c>
      <c r="G879" s="7">
        <v>2149</v>
      </c>
      <c r="H879">
        <v>84</v>
      </c>
    </row>
    <row r="880" spans="1:8" x14ac:dyDescent="0.25">
      <c r="A880" t="s">
        <v>12</v>
      </c>
      <c r="B880" t="s">
        <v>7</v>
      </c>
      <c r="C880" t="s">
        <v>11</v>
      </c>
      <c r="D880" s="2">
        <v>44735</v>
      </c>
      <c r="E880" s="1" t="str">
        <f>TEXT(Table1[[#This Row],[Date]],"ddd")</f>
        <v>Thu</v>
      </c>
      <c r="F880" s="1" t="str">
        <f>TEXT(Table1[[#This Row],[Date]],"mmm")</f>
        <v>Jun</v>
      </c>
      <c r="G880" s="7">
        <v>12362</v>
      </c>
      <c r="H880">
        <v>94</v>
      </c>
    </row>
    <row r="881" spans="1:8" x14ac:dyDescent="0.25">
      <c r="A881" t="s">
        <v>36</v>
      </c>
      <c r="B881" t="s">
        <v>7</v>
      </c>
      <c r="C881" t="s">
        <v>51</v>
      </c>
      <c r="D881" s="2">
        <v>44589</v>
      </c>
      <c r="E881" s="1" t="str">
        <f>TEXT(Table1[[#This Row],[Date]],"ddd")</f>
        <v>Fri</v>
      </c>
      <c r="F881" s="1" t="str">
        <f>TEXT(Table1[[#This Row],[Date]],"mmm")</f>
        <v>Jan</v>
      </c>
      <c r="G881" s="7">
        <v>12635</v>
      </c>
      <c r="H881">
        <v>194</v>
      </c>
    </row>
    <row r="882" spans="1:8" x14ac:dyDescent="0.25">
      <c r="A882" t="s">
        <v>54</v>
      </c>
      <c r="B882" t="s">
        <v>7</v>
      </c>
      <c r="C882" t="s">
        <v>8</v>
      </c>
      <c r="D882" s="2">
        <v>44756</v>
      </c>
      <c r="E882" s="1" t="str">
        <f>TEXT(Table1[[#This Row],[Date]],"ddd")</f>
        <v>Thu</v>
      </c>
      <c r="F882" s="1" t="str">
        <f>TEXT(Table1[[#This Row],[Date]],"mmm")</f>
        <v>Jul</v>
      </c>
      <c r="G882" s="7">
        <v>2443</v>
      </c>
      <c r="H882">
        <v>216</v>
      </c>
    </row>
    <row r="883" spans="1:8" x14ac:dyDescent="0.25">
      <c r="A883" t="s">
        <v>25</v>
      </c>
      <c r="B883" t="s">
        <v>29</v>
      </c>
      <c r="C883" t="s">
        <v>32</v>
      </c>
      <c r="D883" s="2">
        <v>44669</v>
      </c>
      <c r="E883" s="1" t="str">
        <f>TEXT(Table1[[#This Row],[Date]],"ddd")</f>
        <v>Mon</v>
      </c>
      <c r="F883" s="1" t="str">
        <f>TEXT(Table1[[#This Row],[Date]],"mmm")</f>
        <v>Apr</v>
      </c>
      <c r="G883" s="7">
        <v>6237</v>
      </c>
      <c r="H883">
        <v>247</v>
      </c>
    </row>
    <row r="884" spans="1:8" x14ac:dyDescent="0.25">
      <c r="A884" t="s">
        <v>17</v>
      </c>
      <c r="B884" t="s">
        <v>26</v>
      </c>
      <c r="C884" t="s">
        <v>37</v>
      </c>
      <c r="D884" s="2">
        <v>44726</v>
      </c>
      <c r="E884" s="1" t="str">
        <f>TEXT(Table1[[#This Row],[Date]],"ddd")</f>
        <v>Tue</v>
      </c>
      <c r="F884" s="1" t="str">
        <f>TEXT(Table1[[#This Row],[Date]],"mmm")</f>
        <v>Jun</v>
      </c>
      <c r="G884" s="7">
        <v>1736</v>
      </c>
      <c r="H884">
        <v>79</v>
      </c>
    </row>
    <row r="885" spans="1:8" x14ac:dyDescent="0.25">
      <c r="A885" t="s">
        <v>17</v>
      </c>
      <c r="B885" t="s">
        <v>7</v>
      </c>
      <c r="C885" t="s">
        <v>27</v>
      </c>
      <c r="D885" s="2">
        <v>44666</v>
      </c>
      <c r="E885" s="1" t="str">
        <f>TEXT(Table1[[#This Row],[Date]],"ddd")</f>
        <v>Fri</v>
      </c>
      <c r="F885" s="1" t="str">
        <f>TEXT(Table1[[#This Row],[Date]],"mmm")</f>
        <v>Apr</v>
      </c>
      <c r="G885" s="7">
        <v>7315</v>
      </c>
      <c r="H885">
        <v>237</v>
      </c>
    </row>
    <row r="886" spans="1:8" x14ac:dyDescent="0.25">
      <c r="A886" t="s">
        <v>38</v>
      </c>
      <c r="B886" t="s">
        <v>29</v>
      </c>
      <c r="C886" t="s">
        <v>13</v>
      </c>
      <c r="D886" s="2">
        <v>44700</v>
      </c>
      <c r="E886" s="1" t="str">
        <f>TEXT(Table1[[#This Row],[Date]],"ddd")</f>
        <v>Thu</v>
      </c>
      <c r="F886" s="1" t="str">
        <f>TEXT(Table1[[#This Row],[Date]],"mmm")</f>
        <v>May</v>
      </c>
      <c r="G886" s="7">
        <v>4935</v>
      </c>
      <c r="H886">
        <v>63</v>
      </c>
    </row>
    <row r="887" spans="1:8" x14ac:dyDescent="0.25">
      <c r="A887" t="s">
        <v>12</v>
      </c>
      <c r="B887" t="s">
        <v>10</v>
      </c>
      <c r="C887" t="s">
        <v>44</v>
      </c>
      <c r="D887" s="2">
        <v>44664</v>
      </c>
      <c r="E887" s="1" t="str">
        <f>TEXT(Table1[[#This Row],[Date]],"ddd")</f>
        <v>Wed</v>
      </c>
      <c r="F887" s="1" t="str">
        <f>TEXT(Table1[[#This Row],[Date]],"mmm")</f>
        <v>Apr</v>
      </c>
      <c r="G887" s="7">
        <v>1393</v>
      </c>
      <c r="H887">
        <v>172</v>
      </c>
    </row>
    <row r="888" spans="1:8" x14ac:dyDescent="0.25">
      <c r="A888" t="s">
        <v>40</v>
      </c>
      <c r="B888" t="s">
        <v>29</v>
      </c>
      <c r="C888" t="s">
        <v>52</v>
      </c>
      <c r="D888" s="2">
        <v>44788</v>
      </c>
      <c r="E888" s="1" t="str">
        <f>TEXT(Table1[[#This Row],[Date]],"ddd")</f>
        <v>Mon</v>
      </c>
      <c r="F888" s="1" t="str">
        <f>TEXT(Table1[[#This Row],[Date]],"mmm")</f>
        <v>Aug</v>
      </c>
      <c r="G888" s="7">
        <v>3381</v>
      </c>
      <c r="H888">
        <v>408</v>
      </c>
    </row>
    <row r="889" spans="1:8" x14ac:dyDescent="0.25">
      <c r="A889" t="s">
        <v>46</v>
      </c>
      <c r="B889" t="s">
        <v>10</v>
      </c>
      <c r="C889" t="s">
        <v>52</v>
      </c>
      <c r="D889" s="2">
        <v>44795</v>
      </c>
      <c r="E889" s="1" t="str">
        <f>TEXT(Table1[[#This Row],[Date]],"ddd")</f>
        <v>Mon</v>
      </c>
      <c r="F889" s="1" t="str">
        <f>TEXT(Table1[[#This Row],[Date]],"mmm")</f>
        <v>Aug</v>
      </c>
      <c r="G889" s="7">
        <v>2933</v>
      </c>
      <c r="H889">
        <v>233</v>
      </c>
    </row>
    <row r="890" spans="1:8" x14ac:dyDescent="0.25">
      <c r="A890" t="s">
        <v>46</v>
      </c>
      <c r="B890" t="s">
        <v>21</v>
      </c>
      <c r="C890" t="s">
        <v>56</v>
      </c>
      <c r="D890" s="2">
        <v>44673</v>
      </c>
      <c r="E890" s="1" t="str">
        <f>TEXT(Table1[[#This Row],[Date]],"ddd")</f>
        <v>Fri</v>
      </c>
      <c r="F890" s="1" t="str">
        <f>TEXT(Table1[[#This Row],[Date]],"mmm")</f>
        <v>Apr</v>
      </c>
      <c r="G890" s="7">
        <v>3836</v>
      </c>
      <c r="H890">
        <v>59</v>
      </c>
    </row>
    <row r="891" spans="1:8" x14ac:dyDescent="0.25">
      <c r="A891" t="s">
        <v>41</v>
      </c>
      <c r="B891" t="s">
        <v>7</v>
      </c>
      <c r="C891" t="s">
        <v>52</v>
      </c>
      <c r="D891" s="2">
        <v>44776</v>
      </c>
      <c r="E891" s="1" t="str">
        <f>TEXT(Table1[[#This Row],[Date]],"ddd")</f>
        <v>Wed</v>
      </c>
      <c r="F891" s="1" t="str">
        <f>TEXT(Table1[[#This Row],[Date]],"mmm")</f>
        <v>Aug</v>
      </c>
      <c r="G891" s="7">
        <v>8022</v>
      </c>
      <c r="H891">
        <v>123</v>
      </c>
    </row>
    <row r="892" spans="1:8" x14ac:dyDescent="0.25">
      <c r="A892" t="s">
        <v>43</v>
      </c>
      <c r="B892" t="s">
        <v>21</v>
      </c>
      <c r="C892" t="s">
        <v>35</v>
      </c>
      <c r="D892" s="2">
        <v>44565</v>
      </c>
      <c r="E892" s="1" t="str">
        <f>TEXT(Table1[[#This Row],[Date]],"ddd")</f>
        <v>Tue</v>
      </c>
      <c r="F892" s="1" t="str">
        <f>TEXT(Table1[[#This Row],[Date]],"mmm")</f>
        <v>Jan</v>
      </c>
      <c r="G892" s="7">
        <v>371</v>
      </c>
      <c r="H892">
        <v>229</v>
      </c>
    </row>
    <row r="893" spans="1:8" x14ac:dyDescent="0.25">
      <c r="A893" t="s">
        <v>49</v>
      </c>
      <c r="B893" t="s">
        <v>29</v>
      </c>
      <c r="C893" t="s">
        <v>20</v>
      </c>
      <c r="D893" s="2">
        <v>44574</v>
      </c>
      <c r="E893" s="1" t="str">
        <f>TEXT(Table1[[#This Row],[Date]],"ddd")</f>
        <v>Thu</v>
      </c>
      <c r="F893" s="1" t="str">
        <f>TEXT(Table1[[#This Row],[Date]],"mmm")</f>
        <v>Jan</v>
      </c>
      <c r="G893" s="7">
        <v>16702</v>
      </c>
      <c r="H893">
        <v>198</v>
      </c>
    </row>
    <row r="894" spans="1:8" x14ac:dyDescent="0.25">
      <c r="A894" t="s">
        <v>9</v>
      </c>
      <c r="B894" t="s">
        <v>15</v>
      </c>
      <c r="C894" t="s">
        <v>56</v>
      </c>
      <c r="D894" s="2">
        <v>44692</v>
      </c>
      <c r="E894" s="1" t="str">
        <f>TEXT(Table1[[#This Row],[Date]],"ddd")</f>
        <v>Wed</v>
      </c>
      <c r="F894" s="1" t="str">
        <f>TEXT(Table1[[#This Row],[Date]],"mmm")</f>
        <v>May</v>
      </c>
      <c r="G894" s="7">
        <v>13258</v>
      </c>
      <c r="H894">
        <v>32</v>
      </c>
    </row>
    <row r="895" spans="1:8" x14ac:dyDescent="0.25">
      <c r="A895" t="s">
        <v>40</v>
      </c>
      <c r="B895" t="s">
        <v>21</v>
      </c>
      <c r="C895" t="s">
        <v>13</v>
      </c>
      <c r="D895" s="2">
        <v>44608</v>
      </c>
      <c r="E895" s="1" t="str">
        <f>TEXT(Table1[[#This Row],[Date]],"ddd")</f>
        <v>Wed</v>
      </c>
      <c r="F895" s="1" t="str">
        <f>TEXT(Table1[[#This Row],[Date]],"mmm")</f>
        <v>Feb</v>
      </c>
      <c r="G895" s="7">
        <v>2058</v>
      </c>
      <c r="H895">
        <v>236</v>
      </c>
    </row>
    <row r="896" spans="1:8" x14ac:dyDescent="0.25">
      <c r="A896" t="s">
        <v>41</v>
      </c>
      <c r="B896" t="s">
        <v>7</v>
      </c>
      <c r="C896" t="s">
        <v>57</v>
      </c>
      <c r="D896" s="2">
        <v>44701</v>
      </c>
      <c r="E896" s="1" t="str">
        <f>TEXT(Table1[[#This Row],[Date]],"ddd")</f>
        <v>Fri</v>
      </c>
      <c r="F896" s="1" t="str">
        <f>TEXT(Table1[[#This Row],[Date]],"mmm")</f>
        <v>May</v>
      </c>
      <c r="G896" s="7">
        <v>10192</v>
      </c>
      <c r="H896">
        <v>67</v>
      </c>
    </row>
    <row r="897" spans="1:8" x14ac:dyDescent="0.25">
      <c r="A897" t="s">
        <v>6</v>
      </c>
      <c r="B897" t="s">
        <v>7</v>
      </c>
      <c r="C897" t="s">
        <v>32</v>
      </c>
      <c r="D897" s="2">
        <v>44595</v>
      </c>
      <c r="E897" s="1" t="str">
        <f>TEXT(Table1[[#This Row],[Date]],"ddd")</f>
        <v>Thu</v>
      </c>
      <c r="F897" s="1" t="str">
        <f>TEXT(Table1[[#This Row],[Date]],"mmm")</f>
        <v>Feb</v>
      </c>
      <c r="G897" s="7">
        <v>7140</v>
      </c>
      <c r="H897">
        <v>438</v>
      </c>
    </row>
    <row r="898" spans="1:8" x14ac:dyDescent="0.25">
      <c r="A898" t="s">
        <v>34</v>
      </c>
      <c r="B898" t="s">
        <v>10</v>
      </c>
      <c r="C898" t="s">
        <v>45</v>
      </c>
      <c r="D898" s="2">
        <v>44687</v>
      </c>
      <c r="E898" s="1" t="str">
        <f>TEXT(Table1[[#This Row],[Date]],"ddd")</f>
        <v>Fri</v>
      </c>
      <c r="F898" s="1" t="str">
        <f>TEXT(Table1[[#This Row],[Date]],"mmm")</f>
        <v>May</v>
      </c>
      <c r="G898" s="7">
        <v>9835</v>
      </c>
      <c r="H898">
        <v>167</v>
      </c>
    </row>
    <row r="899" spans="1:8" x14ac:dyDescent="0.25">
      <c r="A899" t="s">
        <v>19</v>
      </c>
      <c r="B899" t="s">
        <v>7</v>
      </c>
      <c r="C899" t="s">
        <v>52</v>
      </c>
      <c r="D899" s="2">
        <v>44742</v>
      </c>
      <c r="E899" s="1" t="str">
        <f>TEXT(Table1[[#This Row],[Date]],"ddd")</f>
        <v>Thu</v>
      </c>
      <c r="F899" s="1" t="str">
        <f>TEXT(Table1[[#This Row],[Date]],"mmm")</f>
        <v>Jun</v>
      </c>
      <c r="G899" s="7">
        <v>5775</v>
      </c>
      <c r="H899">
        <v>135</v>
      </c>
    </row>
    <row r="900" spans="1:8" x14ac:dyDescent="0.25">
      <c r="A900" t="s">
        <v>19</v>
      </c>
      <c r="B900" t="s">
        <v>7</v>
      </c>
      <c r="C900" t="s">
        <v>16</v>
      </c>
      <c r="D900" s="2">
        <v>44642</v>
      </c>
      <c r="E900" s="1" t="str">
        <f>TEXT(Table1[[#This Row],[Date]],"ddd")</f>
        <v>Tue</v>
      </c>
      <c r="F900" s="1" t="str">
        <f>TEXT(Table1[[#This Row],[Date]],"mmm")</f>
        <v>Mar</v>
      </c>
      <c r="G900" s="7">
        <v>749</v>
      </c>
      <c r="H900">
        <v>148</v>
      </c>
    </row>
    <row r="901" spans="1:8" x14ac:dyDescent="0.25">
      <c r="A901" t="s">
        <v>50</v>
      </c>
      <c r="B901" t="s">
        <v>29</v>
      </c>
      <c r="C901" t="s">
        <v>27</v>
      </c>
      <c r="D901" s="2">
        <v>44609</v>
      </c>
      <c r="E901" s="1" t="str">
        <f>TEXT(Table1[[#This Row],[Date]],"ddd")</f>
        <v>Thu</v>
      </c>
      <c r="F901" s="1" t="str">
        <f>TEXT(Table1[[#This Row],[Date]],"mmm")</f>
        <v>Feb</v>
      </c>
      <c r="G901" s="7">
        <v>7770</v>
      </c>
      <c r="H901">
        <v>54</v>
      </c>
    </row>
    <row r="902" spans="1:8" x14ac:dyDescent="0.25">
      <c r="A902" t="s">
        <v>6</v>
      </c>
      <c r="B902" t="s">
        <v>7</v>
      </c>
      <c r="C902" t="s">
        <v>11</v>
      </c>
      <c r="D902" s="2">
        <v>44749</v>
      </c>
      <c r="E902" s="1" t="str">
        <f>TEXT(Table1[[#This Row],[Date]],"ddd")</f>
        <v>Thu</v>
      </c>
      <c r="F902" s="1" t="str">
        <f>TEXT(Table1[[#This Row],[Date]],"mmm")</f>
        <v>Jul</v>
      </c>
      <c r="G902" s="7">
        <v>5502</v>
      </c>
      <c r="H902">
        <v>64</v>
      </c>
    </row>
    <row r="903" spans="1:8" x14ac:dyDescent="0.25">
      <c r="A903" t="s">
        <v>17</v>
      </c>
      <c r="B903" t="s">
        <v>7</v>
      </c>
      <c r="C903" t="s">
        <v>58</v>
      </c>
      <c r="D903" s="2">
        <v>44636</v>
      </c>
      <c r="E903" s="1" t="str">
        <f>TEXT(Table1[[#This Row],[Date]],"ddd")</f>
        <v>Wed</v>
      </c>
      <c r="F903" s="1" t="str">
        <f>TEXT(Table1[[#This Row],[Date]],"mmm")</f>
        <v>Mar</v>
      </c>
      <c r="G903" s="7">
        <v>6223</v>
      </c>
      <c r="H903">
        <v>181</v>
      </c>
    </row>
    <row r="904" spans="1:8" x14ac:dyDescent="0.25">
      <c r="A904" t="s">
        <v>49</v>
      </c>
      <c r="B904" t="s">
        <v>7</v>
      </c>
      <c r="C904" t="s">
        <v>18</v>
      </c>
      <c r="D904" s="2">
        <v>44785</v>
      </c>
      <c r="E904" s="1" t="str">
        <f>TEXT(Table1[[#This Row],[Date]],"ddd")</f>
        <v>Fri</v>
      </c>
      <c r="F904" s="1" t="str">
        <f>TEXT(Table1[[#This Row],[Date]],"mmm")</f>
        <v>Aug</v>
      </c>
      <c r="G904" s="7">
        <v>3507</v>
      </c>
      <c r="H904">
        <v>114</v>
      </c>
    </row>
    <row r="905" spans="1:8" x14ac:dyDescent="0.25">
      <c r="A905" t="s">
        <v>12</v>
      </c>
      <c r="B905" t="s">
        <v>21</v>
      </c>
      <c r="C905" t="s">
        <v>20</v>
      </c>
      <c r="D905" s="2">
        <v>44582</v>
      </c>
      <c r="E905" s="1" t="str">
        <f>TEXT(Table1[[#This Row],[Date]],"ddd")</f>
        <v>Fri</v>
      </c>
      <c r="F905" s="1" t="str">
        <f>TEXT(Table1[[#This Row],[Date]],"mmm")</f>
        <v>Jan</v>
      </c>
      <c r="G905" s="7">
        <v>5600</v>
      </c>
      <c r="H905">
        <v>181</v>
      </c>
    </row>
    <row r="906" spans="1:8" x14ac:dyDescent="0.25">
      <c r="A906" t="s">
        <v>17</v>
      </c>
      <c r="B906" t="s">
        <v>15</v>
      </c>
      <c r="C906" t="s">
        <v>22</v>
      </c>
      <c r="D906" s="2">
        <v>44687</v>
      </c>
      <c r="E906" s="1" t="str">
        <f>TEXT(Table1[[#This Row],[Date]],"ddd")</f>
        <v>Fri</v>
      </c>
      <c r="F906" s="1" t="str">
        <f>TEXT(Table1[[#This Row],[Date]],"mmm")</f>
        <v>May</v>
      </c>
      <c r="G906" s="7">
        <v>721</v>
      </c>
      <c r="H906">
        <v>151</v>
      </c>
    </row>
    <row r="907" spans="1:8" x14ac:dyDescent="0.25">
      <c r="A907" t="s">
        <v>17</v>
      </c>
      <c r="B907" t="s">
        <v>29</v>
      </c>
      <c r="C907" t="s">
        <v>22</v>
      </c>
      <c r="D907" s="2">
        <v>44736</v>
      </c>
      <c r="E907" s="1" t="str">
        <f>TEXT(Table1[[#This Row],[Date]],"ddd")</f>
        <v>Fri</v>
      </c>
      <c r="F907" s="1" t="str">
        <f>TEXT(Table1[[#This Row],[Date]],"mmm")</f>
        <v>Jun</v>
      </c>
      <c r="G907" s="7">
        <v>6615</v>
      </c>
      <c r="H907">
        <v>137</v>
      </c>
    </row>
    <row r="908" spans="1:8" x14ac:dyDescent="0.25">
      <c r="A908" t="s">
        <v>25</v>
      </c>
      <c r="B908" t="s">
        <v>26</v>
      </c>
      <c r="C908" t="s">
        <v>44</v>
      </c>
      <c r="D908" s="2">
        <v>44686</v>
      </c>
      <c r="E908" s="1" t="str">
        <f>TEXT(Table1[[#This Row],[Date]],"ddd")</f>
        <v>Thu</v>
      </c>
      <c r="F908" s="1" t="str">
        <f>TEXT(Table1[[#This Row],[Date]],"mmm")</f>
        <v>May</v>
      </c>
      <c r="G908" s="7">
        <v>7420</v>
      </c>
      <c r="H908">
        <v>163</v>
      </c>
    </row>
    <row r="909" spans="1:8" x14ac:dyDescent="0.25">
      <c r="A909" t="s">
        <v>24</v>
      </c>
      <c r="B909" t="s">
        <v>21</v>
      </c>
      <c r="C909" t="s">
        <v>18</v>
      </c>
      <c r="D909" s="2">
        <v>44645</v>
      </c>
      <c r="E909" s="1" t="str">
        <f>TEXT(Table1[[#This Row],[Date]],"ddd")</f>
        <v>Fri</v>
      </c>
      <c r="F909" s="1" t="str">
        <f>TEXT(Table1[[#This Row],[Date]],"mmm")</f>
        <v>Mar</v>
      </c>
      <c r="G909" s="7">
        <v>3164</v>
      </c>
      <c r="H909">
        <v>84</v>
      </c>
    </row>
    <row r="910" spans="1:8" x14ac:dyDescent="0.25">
      <c r="A910" t="s">
        <v>38</v>
      </c>
      <c r="B910" t="s">
        <v>15</v>
      </c>
      <c r="C910" t="s">
        <v>57</v>
      </c>
      <c r="D910" s="2">
        <v>44606</v>
      </c>
      <c r="E910" s="1" t="str">
        <f>TEXT(Table1[[#This Row],[Date]],"ddd")</f>
        <v>Mon</v>
      </c>
      <c r="F910" s="1" t="str">
        <f>TEXT(Table1[[#This Row],[Date]],"mmm")</f>
        <v>Feb</v>
      </c>
      <c r="G910" s="7">
        <v>9114</v>
      </c>
      <c r="H910">
        <v>140</v>
      </c>
    </row>
    <row r="911" spans="1:8" x14ac:dyDescent="0.25">
      <c r="A911" t="s">
        <v>38</v>
      </c>
      <c r="B911" t="s">
        <v>21</v>
      </c>
      <c r="C911" t="s">
        <v>11</v>
      </c>
      <c r="D911" s="2">
        <v>44693</v>
      </c>
      <c r="E911" s="1" t="str">
        <f>TEXT(Table1[[#This Row],[Date]],"ddd")</f>
        <v>Thu</v>
      </c>
      <c r="F911" s="1" t="str">
        <f>TEXT(Table1[[#This Row],[Date]],"mmm")</f>
        <v>May</v>
      </c>
      <c r="G911" s="7">
        <v>5404</v>
      </c>
      <c r="H911">
        <v>187</v>
      </c>
    </row>
    <row r="912" spans="1:8" x14ac:dyDescent="0.25">
      <c r="A912" t="s">
        <v>25</v>
      </c>
      <c r="B912" t="s">
        <v>21</v>
      </c>
      <c r="C912" t="s">
        <v>16</v>
      </c>
      <c r="D912" s="2">
        <v>44586</v>
      </c>
      <c r="E912" s="1" t="str">
        <f>TEXT(Table1[[#This Row],[Date]],"ddd")</f>
        <v>Tue</v>
      </c>
      <c r="F912" s="1" t="str">
        <f>TEXT(Table1[[#This Row],[Date]],"mmm")</f>
        <v>Jan</v>
      </c>
      <c r="G912" s="7">
        <v>3990</v>
      </c>
      <c r="H912">
        <v>169</v>
      </c>
    </row>
    <row r="913" spans="1:8" x14ac:dyDescent="0.25">
      <c r="A913" t="s">
        <v>55</v>
      </c>
      <c r="B913" t="s">
        <v>7</v>
      </c>
      <c r="C913" t="s">
        <v>11</v>
      </c>
      <c r="D913" s="2">
        <v>44740</v>
      </c>
      <c r="E913" s="1" t="str">
        <f>TEXT(Table1[[#This Row],[Date]],"ddd")</f>
        <v>Tue</v>
      </c>
      <c r="F913" s="1" t="str">
        <f>TEXT(Table1[[#This Row],[Date]],"mmm")</f>
        <v>Jun</v>
      </c>
      <c r="G913" s="7">
        <v>14924</v>
      </c>
      <c r="H913">
        <v>12</v>
      </c>
    </row>
    <row r="914" spans="1:8" x14ac:dyDescent="0.25">
      <c r="A914" t="s">
        <v>43</v>
      </c>
      <c r="B914" t="s">
        <v>15</v>
      </c>
      <c r="C914" t="s">
        <v>32</v>
      </c>
      <c r="D914" s="2">
        <v>44755</v>
      </c>
      <c r="E914" s="1" t="str">
        <f>TEXT(Table1[[#This Row],[Date]],"ddd")</f>
        <v>Wed</v>
      </c>
      <c r="F914" s="1" t="str">
        <f>TEXT(Table1[[#This Row],[Date]],"mmm")</f>
        <v>Jul</v>
      </c>
      <c r="G914" s="7">
        <v>7091</v>
      </c>
      <c r="H914">
        <v>194</v>
      </c>
    </row>
    <row r="915" spans="1:8" x14ac:dyDescent="0.25">
      <c r="A915" t="s">
        <v>36</v>
      </c>
      <c r="B915" t="s">
        <v>26</v>
      </c>
      <c r="C915" t="s">
        <v>37</v>
      </c>
      <c r="D915" s="2">
        <v>44697</v>
      </c>
      <c r="E915" s="1" t="str">
        <f>TEXT(Table1[[#This Row],[Date]],"ddd")</f>
        <v>Mon</v>
      </c>
      <c r="F915" s="1" t="str">
        <f>TEXT(Table1[[#This Row],[Date]],"mmm")</f>
        <v>May</v>
      </c>
      <c r="G915" s="7">
        <v>2807</v>
      </c>
      <c r="H915">
        <v>252</v>
      </c>
    </row>
    <row r="916" spans="1:8" x14ac:dyDescent="0.25">
      <c r="A916" t="s">
        <v>14</v>
      </c>
      <c r="B916" t="s">
        <v>10</v>
      </c>
      <c r="C916" t="s">
        <v>20</v>
      </c>
      <c r="D916" s="2">
        <v>44634</v>
      </c>
      <c r="E916" s="1" t="str">
        <f>TEXT(Table1[[#This Row],[Date]],"ddd")</f>
        <v>Mon</v>
      </c>
      <c r="F916" s="1" t="str">
        <f>TEXT(Table1[[#This Row],[Date]],"mmm")</f>
        <v>Mar</v>
      </c>
      <c r="G916" s="7">
        <v>6496</v>
      </c>
      <c r="H916">
        <v>168</v>
      </c>
    </row>
    <row r="917" spans="1:8" x14ac:dyDescent="0.25">
      <c r="A917" t="s">
        <v>19</v>
      </c>
      <c r="B917" t="s">
        <v>26</v>
      </c>
      <c r="C917" t="s">
        <v>20</v>
      </c>
      <c r="D917" s="2">
        <v>44788</v>
      </c>
      <c r="E917" s="1" t="str">
        <f>TEXT(Table1[[#This Row],[Date]],"ddd")</f>
        <v>Mon</v>
      </c>
      <c r="F917" s="1" t="str">
        <f>TEXT(Table1[[#This Row],[Date]],"mmm")</f>
        <v>Aug</v>
      </c>
      <c r="G917" s="7">
        <v>3738</v>
      </c>
      <c r="H917">
        <v>261</v>
      </c>
    </row>
    <row r="918" spans="1:8" x14ac:dyDescent="0.25">
      <c r="A918" t="s">
        <v>55</v>
      </c>
      <c r="B918" t="s">
        <v>10</v>
      </c>
      <c r="C918" t="s">
        <v>27</v>
      </c>
      <c r="D918" s="2">
        <v>44608</v>
      </c>
      <c r="E918" s="1" t="str">
        <f>TEXT(Table1[[#This Row],[Date]],"ddd")</f>
        <v>Wed</v>
      </c>
      <c r="F918" s="1" t="str">
        <f>TEXT(Table1[[#This Row],[Date]],"mmm")</f>
        <v>Feb</v>
      </c>
      <c r="G918" s="7">
        <v>1190</v>
      </c>
      <c r="H918">
        <v>256</v>
      </c>
    </row>
    <row r="919" spans="1:8" x14ac:dyDescent="0.25">
      <c r="A919" t="s">
        <v>28</v>
      </c>
      <c r="B919" t="s">
        <v>7</v>
      </c>
      <c r="C919" t="s">
        <v>45</v>
      </c>
      <c r="D919" s="2">
        <v>44727</v>
      </c>
      <c r="E919" s="1" t="str">
        <f>TEXT(Table1[[#This Row],[Date]],"ddd")</f>
        <v>Wed</v>
      </c>
      <c r="F919" s="1" t="str">
        <f>TEXT(Table1[[#This Row],[Date]],"mmm")</f>
        <v>Jun</v>
      </c>
      <c r="G919" s="7">
        <v>8379</v>
      </c>
      <c r="H919">
        <v>43</v>
      </c>
    </row>
    <row r="920" spans="1:8" x14ac:dyDescent="0.25">
      <c r="A920" t="s">
        <v>25</v>
      </c>
      <c r="B920" t="s">
        <v>15</v>
      </c>
      <c r="C920" t="s">
        <v>51</v>
      </c>
      <c r="D920" s="2">
        <v>44708</v>
      </c>
      <c r="E920" s="1" t="str">
        <f>TEXT(Table1[[#This Row],[Date]],"ddd")</f>
        <v>Fri</v>
      </c>
      <c r="F920" s="1" t="str">
        <f>TEXT(Table1[[#This Row],[Date]],"mmm")</f>
        <v>May</v>
      </c>
      <c r="G920" s="7">
        <v>9268</v>
      </c>
      <c r="H920">
        <v>100</v>
      </c>
    </row>
    <row r="921" spans="1:8" x14ac:dyDescent="0.25">
      <c r="A921" t="s">
        <v>46</v>
      </c>
      <c r="B921" t="s">
        <v>26</v>
      </c>
      <c r="C921" t="s">
        <v>32</v>
      </c>
      <c r="D921" s="2">
        <v>44726</v>
      </c>
      <c r="E921" s="1" t="str">
        <f>TEXT(Table1[[#This Row],[Date]],"ddd")</f>
        <v>Tue</v>
      </c>
      <c r="F921" s="1" t="str">
        <f>TEXT(Table1[[#This Row],[Date]],"mmm")</f>
        <v>Jun</v>
      </c>
      <c r="G921" s="7">
        <v>1029</v>
      </c>
      <c r="H921">
        <v>98</v>
      </c>
    </row>
    <row r="922" spans="1:8" x14ac:dyDescent="0.25">
      <c r="A922" t="s">
        <v>46</v>
      </c>
      <c r="B922" t="s">
        <v>10</v>
      </c>
      <c r="C922" t="s">
        <v>30</v>
      </c>
      <c r="D922" s="2">
        <v>44617</v>
      </c>
      <c r="E922" s="1" t="str">
        <f>TEXT(Table1[[#This Row],[Date]],"ddd")</f>
        <v>Fri</v>
      </c>
      <c r="F922" s="1" t="str">
        <f>TEXT(Table1[[#This Row],[Date]],"mmm")</f>
        <v>Feb</v>
      </c>
      <c r="G922" s="7">
        <v>3549</v>
      </c>
      <c r="H922">
        <v>76</v>
      </c>
    </row>
    <row r="923" spans="1:8" x14ac:dyDescent="0.25">
      <c r="A923" t="s">
        <v>46</v>
      </c>
      <c r="B923" t="s">
        <v>10</v>
      </c>
      <c r="C923" t="s">
        <v>20</v>
      </c>
      <c r="D923" s="2">
        <v>44777</v>
      </c>
      <c r="E923" s="1" t="str">
        <f>TEXT(Table1[[#This Row],[Date]],"ddd")</f>
        <v>Thu</v>
      </c>
      <c r="F923" s="1" t="str">
        <f>TEXT(Table1[[#This Row],[Date]],"mmm")</f>
        <v>Aug</v>
      </c>
      <c r="G923" s="7">
        <v>12026</v>
      </c>
      <c r="H923">
        <v>262</v>
      </c>
    </row>
    <row r="924" spans="1:8" x14ac:dyDescent="0.25">
      <c r="A924" t="s">
        <v>49</v>
      </c>
      <c r="B924" t="s">
        <v>10</v>
      </c>
      <c r="C924" t="s">
        <v>18</v>
      </c>
      <c r="D924" s="2">
        <v>44740</v>
      </c>
      <c r="E924" s="1" t="str">
        <f>TEXT(Table1[[#This Row],[Date]],"ddd")</f>
        <v>Tue</v>
      </c>
      <c r="F924" s="1" t="str">
        <f>TEXT(Table1[[#This Row],[Date]],"mmm")</f>
        <v>Jun</v>
      </c>
      <c r="G924" s="7">
        <v>2303</v>
      </c>
      <c r="H924">
        <v>244</v>
      </c>
    </row>
    <row r="925" spans="1:8" x14ac:dyDescent="0.25">
      <c r="A925" t="s">
        <v>19</v>
      </c>
      <c r="B925" t="s">
        <v>29</v>
      </c>
      <c r="C925" t="s">
        <v>39</v>
      </c>
      <c r="D925" s="2">
        <v>44656</v>
      </c>
      <c r="E925" s="1" t="str">
        <f>TEXT(Table1[[#This Row],[Date]],"ddd")</f>
        <v>Tue</v>
      </c>
      <c r="F925" s="1" t="str">
        <f>TEXT(Table1[[#This Row],[Date]],"mmm")</f>
        <v>Apr</v>
      </c>
      <c r="G925" s="7">
        <v>13405</v>
      </c>
      <c r="H925">
        <v>12</v>
      </c>
    </row>
    <row r="926" spans="1:8" x14ac:dyDescent="0.25">
      <c r="A926" t="s">
        <v>53</v>
      </c>
      <c r="B926" t="s">
        <v>29</v>
      </c>
      <c r="C926" t="s">
        <v>13</v>
      </c>
      <c r="D926" s="2">
        <v>44747</v>
      </c>
      <c r="E926" s="1" t="str">
        <f>TEXT(Table1[[#This Row],[Date]],"ddd")</f>
        <v>Tue</v>
      </c>
      <c r="F926" s="1" t="str">
        <f>TEXT(Table1[[#This Row],[Date]],"mmm")</f>
        <v>Jul</v>
      </c>
      <c r="G926" s="7">
        <v>14763</v>
      </c>
      <c r="H926">
        <v>113</v>
      </c>
    </row>
    <row r="927" spans="1:8" x14ac:dyDescent="0.25">
      <c r="A927" t="s">
        <v>41</v>
      </c>
      <c r="B927" t="s">
        <v>21</v>
      </c>
      <c r="C927" t="s">
        <v>30</v>
      </c>
      <c r="D927" s="2">
        <v>44581</v>
      </c>
      <c r="E927" s="1" t="str">
        <f>TEXT(Table1[[#This Row],[Date]],"ddd")</f>
        <v>Thu</v>
      </c>
      <c r="F927" s="1" t="str">
        <f>TEXT(Table1[[#This Row],[Date]],"mmm")</f>
        <v>Jan</v>
      </c>
      <c r="G927" s="7">
        <v>12894</v>
      </c>
      <c r="H927">
        <v>48</v>
      </c>
    </row>
    <row r="928" spans="1:8" x14ac:dyDescent="0.25">
      <c r="A928" t="s">
        <v>55</v>
      </c>
      <c r="B928" t="s">
        <v>21</v>
      </c>
      <c r="C928" t="s">
        <v>32</v>
      </c>
      <c r="D928" s="2">
        <v>44608</v>
      </c>
      <c r="E928" s="1" t="str">
        <f>TEXT(Table1[[#This Row],[Date]],"ddd")</f>
        <v>Wed</v>
      </c>
      <c r="F928" s="1" t="str">
        <f>TEXT(Table1[[#This Row],[Date]],"mmm")</f>
        <v>Feb</v>
      </c>
      <c r="G928" s="7">
        <v>8302</v>
      </c>
      <c r="H928">
        <v>131</v>
      </c>
    </row>
    <row r="929" spans="1:8" x14ac:dyDescent="0.25">
      <c r="A929" t="s">
        <v>38</v>
      </c>
      <c r="B929" t="s">
        <v>7</v>
      </c>
      <c r="C929" t="s">
        <v>32</v>
      </c>
      <c r="D929" s="2">
        <v>44754</v>
      </c>
      <c r="E929" s="1" t="str">
        <f>TEXT(Table1[[#This Row],[Date]],"ddd")</f>
        <v>Tue</v>
      </c>
      <c r="F929" s="1" t="str">
        <f>TEXT(Table1[[#This Row],[Date]],"mmm")</f>
        <v>Jul</v>
      </c>
      <c r="G929" s="7">
        <v>455</v>
      </c>
      <c r="H929">
        <v>174</v>
      </c>
    </row>
    <row r="930" spans="1:8" x14ac:dyDescent="0.25">
      <c r="A930" t="s">
        <v>49</v>
      </c>
      <c r="B930" t="s">
        <v>10</v>
      </c>
      <c r="C930" t="s">
        <v>51</v>
      </c>
      <c r="D930" s="2">
        <v>44728</v>
      </c>
      <c r="E930" s="1" t="str">
        <f>TEXT(Table1[[#This Row],[Date]],"ddd")</f>
        <v>Thu</v>
      </c>
      <c r="F930" s="1" t="str">
        <f>TEXT(Table1[[#This Row],[Date]],"mmm")</f>
        <v>Jun</v>
      </c>
      <c r="G930" s="7">
        <v>8183</v>
      </c>
      <c r="H930">
        <v>254</v>
      </c>
    </row>
    <row r="931" spans="1:8" x14ac:dyDescent="0.25">
      <c r="A931" t="s">
        <v>54</v>
      </c>
      <c r="B931" t="s">
        <v>15</v>
      </c>
      <c r="C931" t="s">
        <v>52</v>
      </c>
      <c r="D931" s="2">
        <v>44664</v>
      </c>
      <c r="E931" s="1" t="str">
        <f>TEXT(Table1[[#This Row],[Date]],"ddd")</f>
        <v>Wed</v>
      </c>
      <c r="F931" s="1" t="str">
        <f>TEXT(Table1[[#This Row],[Date]],"mmm")</f>
        <v>Apr</v>
      </c>
      <c r="G931" s="7">
        <v>1645</v>
      </c>
      <c r="H931">
        <v>284</v>
      </c>
    </row>
    <row r="932" spans="1:8" x14ac:dyDescent="0.25">
      <c r="A932" t="s">
        <v>41</v>
      </c>
      <c r="B932" t="s">
        <v>7</v>
      </c>
      <c r="C932" t="s">
        <v>22</v>
      </c>
      <c r="D932" s="2">
        <v>44613</v>
      </c>
      <c r="E932" s="1" t="str">
        <f>TEXT(Table1[[#This Row],[Date]],"ddd")</f>
        <v>Mon</v>
      </c>
      <c r="F932" s="1" t="str">
        <f>TEXT(Table1[[#This Row],[Date]],"mmm")</f>
        <v>Feb</v>
      </c>
      <c r="G932" s="7">
        <v>3143</v>
      </c>
      <c r="H932">
        <v>67</v>
      </c>
    </row>
    <row r="933" spans="1:8" x14ac:dyDescent="0.25">
      <c r="A933" t="s">
        <v>36</v>
      </c>
      <c r="B933" t="s">
        <v>29</v>
      </c>
      <c r="C933" t="s">
        <v>52</v>
      </c>
      <c r="D933" s="2">
        <v>44692</v>
      </c>
      <c r="E933" s="1" t="str">
        <f>TEXT(Table1[[#This Row],[Date]],"ddd")</f>
        <v>Wed</v>
      </c>
      <c r="F933" s="1" t="str">
        <f>TEXT(Table1[[#This Row],[Date]],"mmm")</f>
        <v>May</v>
      </c>
      <c r="G933" s="7">
        <v>5873</v>
      </c>
      <c r="H933">
        <v>249</v>
      </c>
    </row>
    <row r="934" spans="1:8" x14ac:dyDescent="0.25">
      <c r="A934" t="s">
        <v>55</v>
      </c>
      <c r="B934" t="s">
        <v>10</v>
      </c>
      <c r="C934" t="s">
        <v>22</v>
      </c>
      <c r="D934" s="2">
        <v>44666</v>
      </c>
      <c r="E934" s="1" t="str">
        <f>TEXT(Table1[[#This Row],[Date]],"ddd")</f>
        <v>Fri</v>
      </c>
      <c r="F934" s="1" t="str">
        <f>TEXT(Table1[[#This Row],[Date]],"mmm")</f>
        <v>Apr</v>
      </c>
      <c r="G934" s="7">
        <v>11298</v>
      </c>
      <c r="H934">
        <v>313</v>
      </c>
    </row>
    <row r="935" spans="1:8" x14ac:dyDescent="0.25">
      <c r="A935" t="s">
        <v>17</v>
      </c>
      <c r="B935" t="s">
        <v>29</v>
      </c>
      <c r="C935" t="s">
        <v>13</v>
      </c>
      <c r="D935" s="2">
        <v>44719</v>
      </c>
      <c r="E935" s="1" t="str">
        <f>TEXT(Table1[[#This Row],[Date]],"ddd")</f>
        <v>Tue</v>
      </c>
      <c r="F935" s="1" t="str">
        <f>TEXT(Table1[[#This Row],[Date]],"mmm")</f>
        <v>Jun</v>
      </c>
      <c r="G935" s="7">
        <v>12425</v>
      </c>
      <c r="H935">
        <v>167</v>
      </c>
    </row>
    <row r="936" spans="1:8" x14ac:dyDescent="0.25">
      <c r="A936" t="s">
        <v>17</v>
      </c>
      <c r="B936" t="s">
        <v>7</v>
      </c>
      <c r="C936" t="s">
        <v>44</v>
      </c>
      <c r="D936" s="2">
        <v>44739</v>
      </c>
      <c r="E936" s="1" t="str">
        <f>TEXT(Table1[[#This Row],[Date]],"ddd")</f>
        <v>Mon</v>
      </c>
      <c r="F936" s="1" t="str">
        <f>TEXT(Table1[[#This Row],[Date]],"mmm")</f>
        <v>Jun</v>
      </c>
      <c r="G936" s="7">
        <v>1715</v>
      </c>
      <c r="H936">
        <v>286</v>
      </c>
    </row>
    <row r="937" spans="1:8" x14ac:dyDescent="0.25">
      <c r="A937" t="s">
        <v>25</v>
      </c>
      <c r="B937" t="s">
        <v>10</v>
      </c>
      <c r="C937" t="s">
        <v>20</v>
      </c>
      <c r="D937" s="2">
        <v>44771</v>
      </c>
      <c r="E937" s="1" t="str">
        <f>TEXT(Table1[[#This Row],[Date]],"ddd")</f>
        <v>Fri</v>
      </c>
      <c r="F937" s="1" t="str">
        <f>TEXT(Table1[[#This Row],[Date]],"mmm")</f>
        <v>Jul</v>
      </c>
      <c r="G937" s="7">
        <v>8190</v>
      </c>
      <c r="H937">
        <v>109</v>
      </c>
    </row>
    <row r="938" spans="1:8" x14ac:dyDescent="0.25">
      <c r="A938" t="s">
        <v>46</v>
      </c>
      <c r="B938" t="s">
        <v>29</v>
      </c>
      <c r="C938" t="s">
        <v>16</v>
      </c>
      <c r="D938" s="2">
        <v>44714</v>
      </c>
      <c r="E938" s="1" t="str">
        <f>TEXT(Table1[[#This Row],[Date]],"ddd")</f>
        <v>Thu</v>
      </c>
      <c r="F938" s="1" t="str">
        <f>TEXT(Table1[[#This Row],[Date]],"mmm")</f>
        <v>Jun</v>
      </c>
      <c r="G938" s="7">
        <v>4991</v>
      </c>
      <c r="H938">
        <v>166</v>
      </c>
    </row>
    <row r="939" spans="1:8" x14ac:dyDescent="0.25">
      <c r="A939" t="s">
        <v>24</v>
      </c>
      <c r="B939" t="s">
        <v>10</v>
      </c>
      <c r="C939" t="s">
        <v>8</v>
      </c>
      <c r="D939" s="2">
        <v>44587</v>
      </c>
      <c r="E939" s="1" t="str">
        <f>TEXT(Table1[[#This Row],[Date]],"ddd")</f>
        <v>Wed</v>
      </c>
      <c r="F939" s="1" t="str">
        <f>TEXT(Table1[[#This Row],[Date]],"mmm")</f>
        <v>Jan</v>
      </c>
      <c r="G939" s="7">
        <v>15491</v>
      </c>
      <c r="H939">
        <v>85</v>
      </c>
    </row>
    <row r="940" spans="1:8" x14ac:dyDescent="0.25">
      <c r="A940" t="s">
        <v>24</v>
      </c>
      <c r="B940" t="s">
        <v>29</v>
      </c>
      <c r="C940" t="s">
        <v>18</v>
      </c>
      <c r="D940" s="2">
        <v>44622</v>
      </c>
      <c r="E940" s="1" t="str">
        <f>TEXT(Table1[[#This Row],[Date]],"ddd")</f>
        <v>Wed</v>
      </c>
      <c r="F940" s="1" t="str">
        <f>TEXT(Table1[[#This Row],[Date]],"mmm")</f>
        <v>Mar</v>
      </c>
      <c r="G940" s="7">
        <v>5096</v>
      </c>
      <c r="H940">
        <v>142</v>
      </c>
    </row>
    <row r="941" spans="1:8" x14ac:dyDescent="0.25">
      <c r="A941" t="s">
        <v>9</v>
      </c>
      <c r="B941" t="s">
        <v>15</v>
      </c>
      <c r="C941" t="s">
        <v>58</v>
      </c>
      <c r="D941" s="2">
        <v>44571</v>
      </c>
      <c r="E941" s="1" t="str">
        <f>TEXT(Table1[[#This Row],[Date]],"ddd")</f>
        <v>Mon</v>
      </c>
      <c r="F941" s="1" t="str">
        <f>TEXT(Table1[[#This Row],[Date]],"mmm")</f>
        <v>Jan</v>
      </c>
      <c r="G941" s="7">
        <v>7063</v>
      </c>
      <c r="H941">
        <v>104</v>
      </c>
    </row>
    <row r="942" spans="1:8" x14ac:dyDescent="0.25">
      <c r="A942" t="s">
        <v>34</v>
      </c>
      <c r="B942" t="s">
        <v>26</v>
      </c>
      <c r="C942" t="s">
        <v>58</v>
      </c>
      <c r="D942" s="2">
        <v>44739</v>
      </c>
      <c r="E942" s="1" t="str">
        <f>TEXT(Table1[[#This Row],[Date]],"ddd")</f>
        <v>Mon</v>
      </c>
      <c r="F942" s="1" t="str">
        <f>TEXT(Table1[[#This Row],[Date]],"mmm")</f>
        <v>Jun</v>
      </c>
      <c r="G942" s="7">
        <v>2275</v>
      </c>
      <c r="H942">
        <v>115</v>
      </c>
    </row>
    <row r="943" spans="1:8" x14ac:dyDescent="0.25">
      <c r="A943" t="s">
        <v>25</v>
      </c>
      <c r="B943" t="s">
        <v>29</v>
      </c>
      <c r="C943" t="s">
        <v>27</v>
      </c>
      <c r="D943" s="2">
        <v>44742</v>
      </c>
      <c r="E943" s="1" t="str">
        <f>TEXT(Table1[[#This Row],[Date]],"ddd")</f>
        <v>Thu</v>
      </c>
      <c r="F943" s="1" t="str">
        <f>TEXT(Table1[[#This Row],[Date]],"mmm")</f>
        <v>Jun</v>
      </c>
      <c r="G943" s="7">
        <v>7602</v>
      </c>
      <c r="H943">
        <v>18</v>
      </c>
    </row>
    <row r="944" spans="1:8" x14ac:dyDescent="0.25">
      <c r="A944" t="s">
        <v>36</v>
      </c>
      <c r="B944" t="s">
        <v>15</v>
      </c>
      <c r="C944" t="s">
        <v>11</v>
      </c>
      <c r="D944" s="2">
        <v>44750</v>
      </c>
      <c r="E944" s="1" t="str">
        <f>TEXT(Table1[[#This Row],[Date]],"ddd")</f>
        <v>Fri</v>
      </c>
      <c r="F944" s="1" t="str">
        <f>TEXT(Table1[[#This Row],[Date]],"mmm")</f>
        <v>Jul</v>
      </c>
      <c r="G944" s="7">
        <v>4200</v>
      </c>
      <c r="H944">
        <v>80</v>
      </c>
    </row>
    <row r="945" spans="1:8" x14ac:dyDescent="0.25">
      <c r="A945" t="s">
        <v>17</v>
      </c>
      <c r="B945" t="s">
        <v>10</v>
      </c>
      <c r="C945" t="s">
        <v>39</v>
      </c>
      <c r="D945" s="2">
        <v>44720</v>
      </c>
      <c r="E945" s="1" t="str">
        <f>TEXT(Table1[[#This Row],[Date]],"ddd")</f>
        <v>Wed</v>
      </c>
      <c r="F945" s="1" t="str">
        <f>TEXT(Table1[[#This Row],[Date]],"mmm")</f>
        <v>Jun</v>
      </c>
      <c r="G945" s="7">
        <v>11137</v>
      </c>
      <c r="H945">
        <v>88</v>
      </c>
    </row>
    <row r="946" spans="1:8" x14ac:dyDescent="0.25">
      <c r="A946" t="s">
        <v>14</v>
      </c>
      <c r="B946" t="s">
        <v>7</v>
      </c>
      <c r="C946" t="s">
        <v>45</v>
      </c>
      <c r="D946" s="2">
        <v>44791</v>
      </c>
      <c r="E946" s="1" t="str">
        <f>TEXT(Table1[[#This Row],[Date]],"ddd")</f>
        <v>Thu</v>
      </c>
      <c r="F946" s="1" t="str">
        <f>TEXT(Table1[[#This Row],[Date]],"mmm")</f>
        <v>Aug</v>
      </c>
      <c r="G946" s="7">
        <v>3388</v>
      </c>
      <c r="H946">
        <v>212</v>
      </c>
    </row>
    <row r="947" spans="1:8" x14ac:dyDescent="0.25">
      <c r="A947" t="s">
        <v>41</v>
      </c>
      <c r="B947" t="s">
        <v>15</v>
      </c>
      <c r="C947" t="s">
        <v>20</v>
      </c>
      <c r="D947" s="2">
        <v>44659</v>
      </c>
      <c r="E947" s="1" t="str">
        <f>TEXT(Table1[[#This Row],[Date]],"ddd")</f>
        <v>Fri</v>
      </c>
      <c r="F947" s="1" t="str">
        <f>TEXT(Table1[[#This Row],[Date]],"mmm")</f>
        <v>Apr</v>
      </c>
      <c r="G947" s="7">
        <v>6832</v>
      </c>
      <c r="H947">
        <v>306</v>
      </c>
    </row>
    <row r="948" spans="1:8" x14ac:dyDescent="0.25">
      <c r="A948" t="s">
        <v>46</v>
      </c>
      <c r="B948" t="s">
        <v>29</v>
      </c>
      <c r="C948" t="s">
        <v>42</v>
      </c>
      <c r="D948" s="2">
        <v>44781</v>
      </c>
      <c r="E948" s="1" t="str">
        <f>TEXT(Table1[[#This Row],[Date]],"ddd")</f>
        <v>Mon</v>
      </c>
      <c r="F948" s="1" t="str">
        <f>TEXT(Table1[[#This Row],[Date]],"mmm")</f>
        <v>Aug</v>
      </c>
      <c r="G948" s="7">
        <v>3437</v>
      </c>
      <c r="H948">
        <v>181</v>
      </c>
    </row>
    <row r="949" spans="1:8" x14ac:dyDescent="0.25">
      <c r="A949" t="s">
        <v>46</v>
      </c>
      <c r="B949" t="s">
        <v>7</v>
      </c>
      <c r="C949" t="s">
        <v>37</v>
      </c>
      <c r="D949" s="2">
        <v>44799</v>
      </c>
      <c r="E949" s="1" t="str">
        <f>TEXT(Table1[[#This Row],[Date]],"ddd")</f>
        <v>Fri</v>
      </c>
      <c r="F949" s="1" t="str">
        <f>TEXT(Table1[[#This Row],[Date]],"mmm")</f>
        <v>Aug</v>
      </c>
      <c r="G949" s="7">
        <v>301</v>
      </c>
      <c r="H949">
        <v>65</v>
      </c>
    </row>
    <row r="950" spans="1:8" x14ac:dyDescent="0.25">
      <c r="A950" t="s">
        <v>17</v>
      </c>
      <c r="B950" t="s">
        <v>29</v>
      </c>
      <c r="C950" t="s">
        <v>42</v>
      </c>
      <c r="D950" s="2">
        <v>44575</v>
      </c>
      <c r="E950" s="1" t="str">
        <f>TEXT(Table1[[#This Row],[Date]],"ddd")</f>
        <v>Fri</v>
      </c>
      <c r="F950" s="1" t="str">
        <f>TEXT(Table1[[#This Row],[Date]],"mmm")</f>
        <v>Jan</v>
      </c>
      <c r="G950" s="7">
        <v>1869</v>
      </c>
      <c r="H950">
        <v>158</v>
      </c>
    </row>
    <row r="951" spans="1:8" x14ac:dyDescent="0.25">
      <c r="A951" t="s">
        <v>43</v>
      </c>
      <c r="B951" t="s">
        <v>26</v>
      </c>
      <c r="C951" t="s">
        <v>56</v>
      </c>
      <c r="D951" s="2">
        <v>44784</v>
      </c>
      <c r="E951" s="1" t="str">
        <f>TEXT(Table1[[#This Row],[Date]],"ddd")</f>
        <v>Thu</v>
      </c>
      <c r="F951" s="1" t="str">
        <f>TEXT(Table1[[#This Row],[Date]],"mmm")</f>
        <v>Aug</v>
      </c>
      <c r="G951" s="7">
        <v>17465</v>
      </c>
      <c r="H951">
        <v>271</v>
      </c>
    </row>
    <row r="952" spans="1:8" x14ac:dyDescent="0.25">
      <c r="A952" t="s">
        <v>53</v>
      </c>
      <c r="B952" t="s">
        <v>26</v>
      </c>
      <c r="C952" t="s">
        <v>47</v>
      </c>
      <c r="D952" s="2">
        <v>44712</v>
      </c>
      <c r="E952" s="1" t="str">
        <f>TEXT(Table1[[#This Row],[Date]],"ddd")</f>
        <v>Tue</v>
      </c>
      <c r="F952" s="1" t="str">
        <f>TEXT(Table1[[#This Row],[Date]],"mmm")</f>
        <v>May</v>
      </c>
      <c r="G952" s="7">
        <v>10143</v>
      </c>
      <c r="H952">
        <v>24</v>
      </c>
    </row>
    <row r="953" spans="1:8" x14ac:dyDescent="0.25">
      <c r="A953" t="s">
        <v>9</v>
      </c>
      <c r="B953" t="s">
        <v>21</v>
      </c>
      <c r="C953" t="s">
        <v>22</v>
      </c>
      <c r="D953" s="2">
        <v>44753</v>
      </c>
      <c r="E953" s="1" t="str">
        <f>TEXT(Table1[[#This Row],[Date]],"ddd")</f>
        <v>Mon</v>
      </c>
      <c r="F953" s="1" t="str">
        <f>TEXT(Table1[[#This Row],[Date]],"mmm")</f>
        <v>Jul</v>
      </c>
      <c r="G953" s="7">
        <v>3626</v>
      </c>
      <c r="H953">
        <v>10</v>
      </c>
    </row>
    <row r="954" spans="1:8" x14ac:dyDescent="0.25">
      <c r="A954" t="s">
        <v>31</v>
      </c>
      <c r="B954" t="s">
        <v>29</v>
      </c>
      <c r="C954" t="s">
        <v>57</v>
      </c>
      <c r="D954" s="2">
        <v>44622</v>
      </c>
      <c r="E954" s="1" t="str">
        <f>TEXT(Table1[[#This Row],[Date]],"ddd")</f>
        <v>Wed</v>
      </c>
      <c r="F954" s="1" t="str">
        <f>TEXT(Table1[[#This Row],[Date]],"mmm")</f>
        <v>Mar</v>
      </c>
      <c r="G954" s="7">
        <v>3346</v>
      </c>
      <c r="H954">
        <v>304</v>
      </c>
    </row>
    <row r="955" spans="1:8" x14ac:dyDescent="0.25">
      <c r="A955" t="s">
        <v>53</v>
      </c>
      <c r="B955" t="s">
        <v>15</v>
      </c>
      <c r="C955" t="s">
        <v>51</v>
      </c>
      <c r="D955" s="2">
        <v>44755</v>
      </c>
      <c r="E955" s="1" t="str">
        <f>TEXT(Table1[[#This Row],[Date]],"ddd")</f>
        <v>Wed</v>
      </c>
      <c r="F955" s="1" t="str">
        <f>TEXT(Table1[[#This Row],[Date]],"mmm")</f>
        <v>Jul</v>
      </c>
      <c r="G955" s="7">
        <v>6321</v>
      </c>
      <c r="H955">
        <v>88</v>
      </c>
    </row>
    <row r="956" spans="1:8" x14ac:dyDescent="0.25">
      <c r="A956" t="s">
        <v>24</v>
      </c>
      <c r="B956" t="s">
        <v>7</v>
      </c>
      <c r="C956" t="s">
        <v>39</v>
      </c>
      <c r="D956" s="2">
        <v>44776</v>
      </c>
      <c r="E956" s="1" t="str">
        <f>TEXT(Table1[[#This Row],[Date]],"ddd")</f>
        <v>Wed</v>
      </c>
      <c r="F956" s="1" t="str">
        <f>TEXT(Table1[[#This Row],[Date]],"mmm")</f>
        <v>Aug</v>
      </c>
      <c r="G956" s="7">
        <v>9345</v>
      </c>
      <c r="H956">
        <v>133</v>
      </c>
    </row>
    <row r="957" spans="1:8" x14ac:dyDescent="0.25">
      <c r="A957" t="s">
        <v>38</v>
      </c>
      <c r="B957" t="s">
        <v>7</v>
      </c>
      <c r="C957" t="s">
        <v>13</v>
      </c>
      <c r="D957" s="2">
        <v>44621</v>
      </c>
      <c r="E957" s="1" t="str">
        <f>TEXT(Table1[[#This Row],[Date]],"ddd")</f>
        <v>Tue</v>
      </c>
      <c r="F957" s="1" t="str">
        <f>TEXT(Table1[[#This Row],[Date]],"mmm")</f>
        <v>Mar</v>
      </c>
      <c r="G957" s="7">
        <v>15008</v>
      </c>
      <c r="H957">
        <v>165</v>
      </c>
    </row>
    <row r="958" spans="1:8" x14ac:dyDescent="0.25">
      <c r="A958" t="s">
        <v>49</v>
      </c>
      <c r="B958" t="s">
        <v>21</v>
      </c>
      <c r="C958" t="s">
        <v>44</v>
      </c>
      <c r="D958" s="2">
        <v>44664</v>
      </c>
      <c r="E958" s="1" t="str">
        <f>TEXT(Table1[[#This Row],[Date]],"ddd")</f>
        <v>Wed</v>
      </c>
      <c r="F958" s="1" t="str">
        <f>TEXT(Table1[[#This Row],[Date]],"mmm")</f>
        <v>Apr</v>
      </c>
      <c r="G958" s="7">
        <v>7609</v>
      </c>
      <c r="H958">
        <v>150</v>
      </c>
    </row>
    <row r="959" spans="1:8" x14ac:dyDescent="0.25">
      <c r="A959" t="s">
        <v>34</v>
      </c>
      <c r="B959" t="s">
        <v>29</v>
      </c>
      <c r="C959" t="s">
        <v>42</v>
      </c>
      <c r="D959" s="2">
        <v>44606</v>
      </c>
      <c r="E959" s="1" t="str">
        <f>TEXT(Table1[[#This Row],[Date]],"ddd")</f>
        <v>Mon</v>
      </c>
      <c r="F959" s="1" t="str">
        <f>TEXT(Table1[[#This Row],[Date]],"mmm")</f>
        <v>Feb</v>
      </c>
      <c r="G959" s="7">
        <v>10332</v>
      </c>
      <c r="H959">
        <v>180</v>
      </c>
    </row>
    <row r="960" spans="1:8" x14ac:dyDescent="0.25">
      <c r="A960" t="s">
        <v>28</v>
      </c>
      <c r="B960" t="s">
        <v>10</v>
      </c>
      <c r="C960" t="s">
        <v>44</v>
      </c>
      <c r="D960" s="2">
        <v>44768</v>
      </c>
      <c r="E960" s="1" t="str">
        <f>TEXT(Table1[[#This Row],[Date]],"ddd")</f>
        <v>Tue</v>
      </c>
      <c r="F960" s="1" t="str">
        <f>TEXT(Table1[[#This Row],[Date]],"mmm")</f>
        <v>Jul</v>
      </c>
      <c r="G960" s="7">
        <v>819</v>
      </c>
      <c r="H960">
        <v>213</v>
      </c>
    </row>
    <row r="961" spans="1:8" x14ac:dyDescent="0.25">
      <c r="A961" t="s">
        <v>23</v>
      </c>
      <c r="B961" t="s">
        <v>7</v>
      </c>
      <c r="C961" t="s">
        <v>32</v>
      </c>
      <c r="D961" s="2">
        <v>44588</v>
      </c>
      <c r="E961" s="1" t="str">
        <f>TEXT(Table1[[#This Row],[Date]],"ddd")</f>
        <v>Thu</v>
      </c>
      <c r="F961" s="1" t="str">
        <f>TEXT(Table1[[#This Row],[Date]],"mmm")</f>
        <v>Jan</v>
      </c>
      <c r="G961" s="7">
        <v>5754</v>
      </c>
      <c r="H961">
        <v>133</v>
      </c>
    </row>
    <row r="962" spans="1:8" x14ac:dyDescent="0.25">
      <c r="A962" t="s">
        <v>6</v>
      </c>
      <c r="B962" t="s">
        <v>10</v>
      </c>
      <c r="C962" t="s">
        <v>13</v>
      </c>
      <c r="D962" s="2">
        <v>44665</v>
      </c>
      <c r="E962" s="1" t="str">
        <f>TEXT(Table1[[#This Row],[Date]],"ddd")</f>
        <v>Thu</v>
      </c>
      <c r="F962" s="1" t="str">
        <f>TEXT(Table1[[#This Row],[Date]],"mmm")</f>
        <v>Apr</v>
      </c>
      <c r="G962" s="7">
        <v>28</v>
      </c>
      <c r="H962">
        <v>446</v>
      </c>
    </row>
    <row r="963" spans="1:8" x14ac:dyDescent="0.25">
      <c r="A963" t="s">
        <v>17</v>
      </c>
      <c r="B963" t="s">
        <v>26</v>
      </c>
      <c r="C963" t="s">
        <v>47</v>
      </c>
      <c r="D963" s="2">
        <v>44700</v>
      </c>
      <c r="E963" s="1" t="str">
        <f>TEXT(Table1[[#This Row],[Date]],"ddd")</f>
        <v>Thu</v>
      </c>
      <c r="F963" s="1" t="str">
        <f>TEXT(Table1[[#This Row],[Date]],"mmm")</f>
        <v>May</v>
      </c>
      <c r="G963" s="7">
        <v>6440</v>
      </c>
      <c r="H963">
        <v>141</v>
      </c>
    </row>
    <row r="964" spans="1:8" x14ac:dyDescent="0.25">
      <c r="A964" t="s">
        <v>40</v>
      </c>
      <c r="B964" t="s">
        <v>10</v>
      </c>
      <c r="C964" t="s">
        <v>30</v>
      </c>
      <c r="D964" s="2">
        <v>44601</v>
      </c>
      <c r="E964" s="1" t="str">
        <f>TEXT(Table1[[#This Row],[Date]],"ddd")</f>
        <v>Wed</v>
      </c>
      <c r="F964" s="1" t="str">
        <f>TEXT(Table1[[#This Row],[Date]],"mmm")</f>
        <v>Feb</v>
      </c>
      <c r="G964" s="7">
        <v>4956</v>
      </c>
      <c r="H964">
        <v>58</v>
      </c>
    </row>
    <row r="965" spans="1:8" x14ac:dyDescent="0.25">
      <c r="A965" t="s">
        <v>23</v>
      </c>
      <c r="B965" t="s">
        <v>7</v>
      </c>
      <c r="C965" t="s">
        <v>39</v>
      </c>
      <c r="D965" s="2">
        <v>44706</v>
      </c>
      <c r="E965" s="1" t="str">
        <f>TEXT(Table1[[#This Row],[Date]],"ddd")</f>
        <v>Wed</v>
      </c>
      <c r="F965" s="1" t="str">
        <f>TEXT(Table1[[#This Row],[Date]],"mmm")</f>
        <v>May</v>
      </c>
      <c r="G965" s="7">
        <v>2352</v>
      </c>
      <c r="H965">
        <v>58</v>
      </c>
    </row>
    <row r="966" spans="1:8" x14ac:dyDescent="0.25">
      <c r="A966" t="s">
        <v>17</v>
      </c>
      <c r="B966" t="s">
        <v>15</v>
      </c>
      <c r="C966" t="s">
        <v>45</v>
      </c>
      <c r="D966" s="2">
        <v>44587</v>
      </c>
      <c r="E966" s="1" t="str">
        <f>TEXT(Table1[[#This Row],[Date]],"ddd")</f>
        <v>Wed</v>
      </c>
      <c r="F966" s="1" t="str">
        <f>TEXT(Table1[[#This Row],[Date]],"mmm")</f>
        <v>Jan</v>
      </c>
      <c r="G966" s="7">
        <v>3906</v>
      </c>
      <c r="H966">
        <v>76</v>
      </c>
    </row>
    <row r="967" spans="1:8" x14ac:dyDescent="0.25">
      <c r="A967" t="s">
        <v>34</v>
      </c>
      <c r="B967" t="s">
        <v>10</v>
      </c>
      <c r="C967" t="s">
        <v>44</v>
      </c>
      <c r="D967" s="2">
        <v>44746</v>
      </c>
      <c r="E967" s="1" t="str">
        <f>TEXT(Table1[[#This Row],[Date]],"ddd")</f>
        <v>Mon</v>
      </c>
      <c r="F967" s="1" t="str">
        <f>TEXT(Table1[[#This Row],[Date]],"mmm")</f>
        <v>Jul</v>
      </c>
      <c r="G967" s="7">
        <v>1813</v>
      </c>
      <c r="H967">
        <v>296</v>
      </c>
    </row>
    <row r="968" spans="1:8" x14ac:dyDescent="0.25">
      <c r="A968" t="s">
        <v>55</v>
      </c>
      <c r="B968" t="s">
        <v>10</v>
      </c>
      <c r="C968" t="s">
        <v>47</v>
      </c>
      <c r="D968" s="2">
        <v>44664</v>
      </c>
      <c r="E968" s="1" t="str">
        <f>TEXT(Table1[[#This Row],[Date]],"ddd")</f>
        <v>Wed</v>
      </c>
      <c r="F968" s="1" t="str">
        <f>TEXT(Table1[[#This Row],[Date]],"mmm")</f>
        <v>Apr</v>
      </c>
      <c r="G968" s="7">
        <v>11788</v>
      </c>
      <c r="H968">
        <v>73</v>
      </c>
    </row>
    <row r="969" spans="1:8" x14ac:dyDescent="0.25">
      <c r="A969" t="s">
        <v>12</v>
      </c>
      <c r="B969" t="s">
        <v>15</v>
      </c>
      <c r="C969" t="s">
        <v>16</v>
      </c>
      <c r="D969" s="2">
        <v>44586</v>
      </c>
      <c r="E969" s="1" t="str">
        <f>TEXT(Table1[[#This Row],[Date]],"ddd")</f>
        <v>Tue</v>
      </c>
      <c r="F969" s="1" t="str">
        <f>TEXT(Table1[[#This Row],[Date]],"mmm")</f>
        <v>Jan</v>
      </c>
      <c r="G969" s="7">
        <v>5768</v>
      </c>
      <c r="H969">
        <v>119</v>
      </c>
    </row>
    <row r="970" spans="1:8" x14ac:dyDescent="0.25">
      <c r="A970" t="s">
        <v>50</v>
      </c>
      <c r="B970" t="s">
        <v>26</v>
      </c>
      <c r="C970" t="s">
        <v>11</v>
      </c>
      <c r="D970" s="2">
        <v>44676</v>
      </c>
      <c r="E970" s="1" t="str">
        <f>TEXT(Table1[[#This Row],[Date]],"ddd")</f>
        <v>Mon</v>
      </c>
      <c r="F970" s="1" t="str">
        <f>TEXT(Table1[[#This Row],[Date]],"mmm")</f>
        <v>Apr</v>
      </c>
      <c r="G970" s="7">
        <v>2401</v>
      </c>
      <c r="H970">
        <v>78</v>
      </c>
    </row>
    <row r="971" spans="1:8" x14ac:dyDescent="0.25">
      <c r="A971" t="s">
        <v>50</v>
      </c>
      <c r="B971" t="s">
        <v>26</v>
      </c>
      <c r="C971" t="s">
        <v>30</v>
      </c>
      <c r="D971" s="2">
        <v>44722</v>
      </c>
      <c r="E971" s="1" t="str">
        <f>TEXT(Table1[[#This Row],[Date]],"ddd")</f>
        <v>Fri</v>
      </c>
      <c r="F971" s="1" t="str">
        <f>TEXT(Table1[[#This Row],[Date]],"mmm")</f>
        <v>Jun</v>
      </c>
      <c r="G971" s="7">
        <v>4515</v>
      </c>
      <c r="H971">
        <v>392</v>
      </c>
    </row>
    <row r="972" spans="1:8" x14ac:dyDescent="0.25">
      <c r="A972" t="s">
        <v>53</v>
      </c>
      <c r="B972" t="s">
        <v>21</v>
      </c>
      <c r="C972" t="s">
        <v>44</v>
      </c>
      <c r="D972" s="2">
        <v>44795</v>
      </c>
      <c r="E972" s="1" t="str">
        <f>TEXT(Table1[[#This Row],[Date]],"ddd")</f>
        <v>Mon</v>
      </c>
      <c r="F972" s="1" t="str">
        <f>TEXT(Table1[[#This Row],[Date]],"mmm")</f>
        <v>Aug</v>
      </c>
      <c r="G972" s="7">
        <v>10794</v>
      </c>
      <c r="H972">
        <v>51</v>
      </c>
    </row>
    <row r="973" spans="1:8" x14ac:dyDescent="0.25">
      <c r="A973" t="s">
        <v>9</v>
      </c>
      <c r="B973" t="s">
        <v>10</v>
      </c>
      <c r="C973" t="s">
        <v>20</v>
      </c>
      <c r="D973" s="2">
        <v>44739</v>
      </c>
      <c r="E973" s="1" t="str">
        <f>TEXT(Table1[[#This Row],[Date]],"ddd")</f>
        <v>Mon</v>
      </c>
      <c r="F973" s="1" t="str">
        <f>TEXT(Table1[[#This Row],[Date]],"mmm")</f>
        <v>Jun</v>
      </c>
      <c r="G973" s="7">
        <v>13706</v>
      </c>
      <c r="H973">
        <v>207</v>
      </c>
    </row>
    <row r="974" spans="1:8" x14ac:dyDescent="0.25">
      <c r="A974" t="s">
        <v>40</v>
      </c>
      <c r="B974" t="s">
        <v>10</v>
      </c>
      <c r="C974" t="s">
        <v>27</v>
      </c>
      <c r="D974" s="2">
        <v>44742</v>
      </c>
      <c r="E974" s="1" t="str">
        <f>TEXT(Table1[[#This Row],[Date]],"ddd")</f>
        <v>Thu</v>
      </c>
      <c r="F974" s="1" t="str">
        <f>TEXT(Table1[[#This Row],[Date]],"mmm")</f>
        <v>Jun</v>
      </c>
      <c r="G974" s="7">
        <v>4361</v>
      </c>
      <c r="H974">
        <v>40</v>
      </c>
    </row>
    <row r="975" spans="1:8" x14ac:dyDescent="0.25">
      <c r="A975" t="s">
        <v>6</v>
      </c>
      <c r="B975" t="s">
        <v>10</v>
      </c>
      <c r="C975" t="s">
        <v>47</v>
      </c>
      <c r="D975" s="2">
        <v>44803</v>
      </c>
      <c r="E975" s="1" t="str">
        <f>TEXT(Table1[[#This Row],[Date]],"ddd")</f>
        <v>Tue</v>
      </c>
      <c r="F975" s="1" t="str">
        <f>TEXT(Table1[[#This Row],[Date]],"mmm")</f>
        <v>Aug</v>
      </c>
      <c r="G975" s="7">
        <v>10122</v>
      </c>
      <c r="H975">
        <v>100</v>
      </c>
    </row>
    <row r="976" spans="1:8" x14ac:dyDescent="0.25">
      <c r="A976" t="s">
        <v>31</v>
      </c>
      <c r="B976" t="s">
        <v>15</v>
      </c>
      <c r="C976" t="s">
        <v>51</v>
      </c>
      <c r="D976" s="2">
        <v>44796</v>
      </c>
      <c r="E976" s="1" t="str">
        <f>TEXT(Table1[[#This Row],[Date]],"ddd")</f>
        <v>Tue</v>
      </c>
      <c r="F976" s="1" t="str">
        <f>TEXT(Table1[[#This Row],[Date]],"mmm")</f>
        <v>Aug</v>
      </c>
      <c r="G976" s="7">
        <v>994</v>
      </c>
      <c r="H976">
        <v>57</v>
      </c>
    </row>
    <row r="977" spans="1:8" x14ac:dyDescent="0.25">
      <c r="A977" t="s">
        <v>50</v>
      </c>
      <c r="B977" t="s">
        <v>21</v>
      </c>
      <c r="C977" t="s">
        <v>18</v>
      </c>
      <c r="D977" s="2">
        <v>44799</v>
      </c>
      <c r="E977" s="1" t="str">
        <f>TEXT(Table1[[#This Row],[Date]],"ddd")</f>
        <v>Fri</v>
      </c>
      <c r="F977" s="1" t="str">
        <f>TEXT(Table1[[#This Row],[Date]],"mmm")</f>
        <v>Aug</v>
      </c>
      <c r="G977" s="7">
        <v>2268</v>
      </c>
      <c r="H977">
        <v>42</v>
      </c>
    </row>
    <row r="978" spans="1:8" x14ac:dyDescent="0.25">
      <c r="A978" t="s">
        <v>12</v>
      </c>
      <c r="B978" t="s">
        <v>15</v>
      </c>
      <c r="C978" t="s">
        <v>27</v>
      </c>
      <c r="D978" s="2">
        <v>44629</v>
      </c>
      <c r="E978" s="1" t="str">
        <f>TEXT(Table1[[#This Row],[Date]],"ddd")</f>
        <v>Wed</v>
      </c>
      <c r="F978" s="1" t="str">
        <f>TEXT(Table1[[#This Row],[Date]],"mmm")</f>
        <v>Mar</v>
      </c>
      <c r="G978" s="7">
        <v>574</v>
      </c>
      <c r="H978">
        <v>156</v>
      </c>
    </row>
    <row r="979" spans="1:8" x14ac:dyDescent="0.25">
      <c r="A979" t="s">
        <v>49</v>
      </c>
      <c r="B979" t="s">
        <v>7</v>
      </c>
      <c r="C979" t="s">
        <v>32</v>
      </c>
      <c r="D979" s="2">
        <v>44671</v>
      </c>
      <c r="E979" s="1" t="str">
        <f>TEXT(Table1[[#This Row],[Date]],"ddd")</f>
        <v>Wed</v>
      </c>
      <c r="F979" s="1" t="str">
        <f>TEXT(Table1[[#This Row],[Date]],"mmm")</f>
        <v>Apr</v>
      </c>
      <c r="G979" s="7">
        <v>1792</v>
      </c>
      <c r="H979">
        <v>23</v>
      </c>
    </row>
    <row r="980" spans="1:8" x14ac:dyDescent="0.25">
      <c r="A980" t="s">
        <v>28</v>
      </c>
      <c r="B980" t="s">
        <v>29</v>
      </c>
      <c r="C980" t="s">
        <v>57</v>
      </c>
      <c r="D980" s="2">
        <v>44722</v>
      </c>
      <c r="E980" s="1" t="str">
        <f>TEXT(Table1[[#This Row],[Date]],"ddd")</f>
        <v>Fri</v>
      </c>
      <c r="F980" s="1" t="str">
        <f>TEXT(Table1[[#This Row],[Date]],"mmm")</f>
        <v>Jun</v>
      </c>
      <c r="G980" s="7">
        <v>4844</v>
      </c>
      <c r="H980">
        <v>539</v>
      </c>
    </row>
    <row r="981" spans="1:8" x14ac:dyDescent="0.25">
      <c r="A981" t="s">
        <v>40</v>
      </c>
      <c r="B981" t="s">
        <v>15</v>
      </c>
      <c r="C981" t="s">
        <v>35</v>
      </c>
      <c r="D981" s="2">
        <v>44600</v>
      </c>
      <c r="E981" s="1" t="str">
        <f>TEXT(Table1[[#This Row],[Date]],"ddd")</f>
        <v>Tue</v>
      </c>
      <c r="F981" s="1" t="str">
        <f>TEXT(Table1[[#This Row],[Date]],"mmm")</f>
        <v>Feb</v>
      </c>
      <c r="G981" s="7">
        <v>938</v>
      </c>
      <c r="H981">
        <v>158</v>
      </c>
    </row>
    <row r="982" spans="1:8" x14ac:dyDescent="0.25">
      <c r="A982" t="s">
        <v>23</v>
      </c>
      <c r="B982" t="s">
        <v>15</v>
      </c>
      <c r="C982" t="s">
        <v>44</v>
      </c>
      <c r="D982" s="2">
        <v>44798</v>
      </c>
      <c r="E982" s="1" t="str">
        <f>TEXT(Table1[[#This Row],[Date]],"ddd")</f>
        <v>Thu</v>
      </c>
      <c r="F982" s="1" t="str">
        <f>TEXT(Table1[[#This Row],[Date]],"mmm")</f>
        <v>Aug</v>
      </c>
      <c r="G982" s="7">
        <v>4879</v>
      </c>
      <c r="H982">
        <v>22</v>
      </c>
    </row>
    <row r="983" spans="1:8" x14ac:dyDescent="0.25">
      <c r="A983" t="s">
        <v>54</v>
      </c>
      <c r="B983" t="s">
        <v>10</v>
      </c>
      <c r="C983" t="s">
        <v>13</v>
      </c>
      <c r="D983" s="2">
        <v>44608</v>
      </c>
      <c r="E983" s="1" t="str">
        <f>TEXT(Table1[[#This Row],[Date]],"ddd")</f>
        <v>Wed</v>
      </c>
      <c r="F983" s="1" t="str">
        <f>TEXT(Table1[[#This Row],[Date]],"mmm")</f>
        <v>Feb</v>
      </c>
      <c r="G983" s="7">
        <v>9107</v>
      </c>
      <c r="H983">
        <v>73</v>
      </c>
    </row>
    <row r="984" spans="1:8" x14ac:dyDescent="0.25">
      <c r="A984" t="s">
        <v>43</v>
      </c>
      <c r="B984" t="s">
        <v>7</v>
      </c>
      <c r="C984" t="s">
        <v>18</v>
      </c>
      <c r="D984" s="2">
        <v>44711</v>
      </c>
      <c r="E984" s="1" t="str">
        <f>TEXT(Table1[[#This Row],[Date]],"ddd")</f>
        <v>Mon</v>
      </c>
      <c r="F984" s="1" t="str">
        <f>TEXT(Table1[[#This Row],[Date]],"mmm")</f>
        <v>May</v>
      </c>
      <c r="G984" s="7">
        <v>12187</v>
      </c>
      <c r="H984">
        <v>27</v>
      </c>
    </row>
    <row r="985" spans="1:8" x14ac:dyDescent="0.25">
      <c r="A985" t="s">
        <v>12</v>
      </c>
      <c r="B985" t="s">
        <v>21</v>
      </c>
      <c r="C985" t="s">
        <v>22</v>
      </c>
      <c r="D985" s="2">
        <v>44741</v>
      </c>
      <c r="E985" s="1" t="str">
        <f>TEXT(Table1[[#This Row],[Date]],"ddd")</f>
        <v>Wed</v>
      </c>
      <c r="F985" s="1" t="str">
        <f>TEXT(Table1[[#This Row],[Date]],"mmm")</f>
        <v>Jun</v>
      </c>
      <c r="G985" s="7">
        <v>5670</v>
      </c>
      <c r="H985">
        <v>64</v>
      </c>
    </row>
    <row r="986" spans="1:8" x14ac:dyDescent="0.25">
      <c r="A986" t="s">
        <v>12</v>
      </c>
      <c r="B986" t="s">
        <v>26</v>
      </c>
      <c r="C986" t="s">
        <v>37</v>
      </c>
      <c r="D986" s="2">
        <v>44728</v>
      </c>
      <c r="E986" s="1" t="str">
        <f>TEXT(Table1[[#This Row],[Date]],"ddd")</f>
        <v>Thu</v>
      </c>
      <c r="F986" s="1" t="str">
        <f>TEXT(Table1[[#This Row],[Date]],"mmm")</f>
        <v>Jun</v>
      </c>
      <c r="G986" s="7">
        <v>476</v>
      </c>
      <c r="H986">
        <v>133</v>
      </c>
    </row>
    <row r="987" spans="1:8" x14ac:dyDescent="0.25">
      <c r="A987" t="s">
        <v>23</v>
      </c>
      <c r="B987" t="s">
        <v>7</v>
      </c>
      <c r="C987" t="s">
        <v>57</v>
      </c>
      <c r="D987" s="2">
        <v>44624</v>
      </c>
      <c r="E987" s="1" t="str">
        <f>TEXT(Table1[[#This Row],[Date]],"ddd")</f>
        <v>Fri</v>
      </c>
      <c r="F987" s="1" t="str">
        <f>TEXT(Table1[[#This Row],[Date]],"mmm")</f>
        <v>Mar</v>
      </c>
      <c r="G987" s="7">
        <v>2681</v>
      </c>
      <c r="H987">
        <v>149</v>
      </c>
    </row>
    <row r="988" spans="1:8" x14ac:dyDescent="0.25">
      <c r="A988" t="s">
        <v>38</v>
      </c>
      <c r="B988" t="s">
        <v>21</v>
      </c>
      <c r="C988" t="s">
        <v>13</v>
      </c>
      <c r="D988" s="2">
        <v>44635</v>
      </c>
      <c r="E988" s="1" t="str">
        <f>TEXT(Table1[[#This Row],[Date]],"ddd")</f>
        <v>Tue</v>
      </c>
      <c r="F988" s="1" t="str">
        <f>TEXT(Table1[[#This Row],[Date]],"mmm")</f>
        <v>Mar</v>
      </c>
      <c r="G988" s="7">
        <v>1533</v>
      </c>
      <c r="H988">
        <v>434</v>
      </c>
    </row>
    <row r="989" spans="1:8" x14ac:dyDescent="0.25">
      <c r="A989" t="s">
        <v>38</v>
      </c>
      <c r="B989" t="s">
        <v>21</v>
      </c>
      <c r="C989" t="s">
        <v>22</v>
      </c>
      <c r="D989" s="2">
        <v>44588</v>
      </c>
      <c r="E989" s="1" t="str">
        <f>TEXT(Table1[[#This Row],[Date]],"ddd")</f>
        <v>Thu</v>
      </c>
      <c r="F989" s="1" t="str">
        <f>TEXT(Table1[[#This Row],[Date]],"mmm")</f>
        <v>Jan</v>
      </c>
      <c r="G989" s="7">
        <v>9765</v>
      </c>
      <c r="H989">
        <v>85</v>
      </c>
    </row>
    <row r="990" spans="1:8" x14ac:dyDescent="0.25">
      <c r="A990" t="s">
        <v>34</v>
      </c>
      <c r="B990" t="s">
        <v>29</v>
      </c>
      <c r="C990" t="s">
        <v>32</v>
      </c>
      <c r="D990" s="2">
        <v>44747</v>
      </c>
      <c r="E990" s="1" t="str">
        <f>TEXT(Table1[[#This Row],[Date]],"ddd")</f>
        <v>Tue</v>
      </c>
      <c r="F990" s="1" t="str">
        <f>TEXT(Table1[[#This Row],[Date]],"mmm")</f>
        <v>Jul</v>
      </c>
      <c r="G990" s="7">
        <v>994</v>
      </c>
      <c r="H990">
        <v>118</v>
      </c>
    </row>
    <row r="991" spans="1:8" x14ac:dyDescent="0.25">
      <c r="A991" t="s">
        <v>25</v>
      </c>
      <c r="B991" t="s">
        <v>26</v>
      </c>
      <c r="C991" t="s">
        <v>57</v>
      </c>
      <c r="D991" s="2">
        <v>44649</v>
      </c>
      <c r="E991" s="1" t="str">
        <f>TEXT(Table1[[#This Row],[Date]],"ddd")</f>
        <v>Tue</v>
      </c>
      <c r="F991" s="1" t="str">
        <f>TEXT(Table1[[#This Row],[Date]],"mmm")</f>
        <v>Mar</v>
      </c>
      <c r="G991" s="7">
        <v>3318</v>
      </c>
      <c r="H991">
        <v>299</v>
      </c>
    </row>
    <row r="992" spans="1:8" x14ac:dyDescent="0.25">
      <c r="A992" t="s">
        <v>28</v>
      </c>
      <c r="B992" t="s">
        <v>29</v>
      </c>
      <c r="C992" t="s">
        <v>47</v>
      </c>
      <c r="D992" s="2">
        <v>44693</v>
      </c>
      <c r="E992" s="1" t="str">
        <f>TEXT(Table1[[#This Row],[Date]],"ddd")</f>
        <v>Thu</v>
      </c>
      <c r="F992" s="1" t="str">
        <f>TEXT(Table1[[#This Row],[Date]],"mmm")</f>
        <v>May</v>
      </c>
      <c r="G992" s="7">
        <v>4214</v>
      </c>
      <c r="H992">
        <v>35</v>
      </c>
    </row>
    <row r="993" spans="1:8" x14ac:dyDescent="0.25">
      <c r="A993" t="s">
        <v>17</v>
      </c>
      <c r="B993" t="s">
        <v>26</v>
      </c>
      <c r="C993" t="s">
        <v>32</v>
      </c>
      <c r="D993" s="2">
        <v>44631</v>
      </c>
      <c r="E993" s="1" t="str">
        <f>TEXT(Table1[[#This Row],[Date]],"ddd")</f>
        <v>Fri</v>
      </c>
      <c r="F993" s="1" t="str">
        <f>TEXT(Table1[[#This Row],[Date]],"mmm")</f>
        <v>Mar</v>
      </c>
      <c r="G993" s="7">
        <v>7714</v>
      </c>
      <c r="H993">
        <v>44</v>
      </c>
    </row>
    <row r="994" spans="1:8" x14ac:dyDescent="0.25">
      <c r="A994" t="s">
        <v>23</v>
      </c>
      <c r="B994" t="s">
        <v>21</v>
      </c>
      <c r="C994" t="s">
        <v>30</v>
      </c>
      <c r="D994" s="2">
        <v>44753</v>
      </c>
      <c r="E994" s="1" t="str">
        <f>TEXT(Table1[[#This Row],[Date]],"ddd")</f>
        <v>Mon</v>
      </c>
      <c r="F994" s="1" t="str">
        <f>TEXT(Table1[[#This Row],[Date]],"mmm")</f>
        <v>Jul</v>
      </c>
      <c r="G994" s="7">
        <v>4690</v>
      </c>
      <c r="H994">
        <v>299</v>
      </c>
    </row>
    <row r="995" spans="1:8" x14ac:dyDescent="0.25">
      <c r="A995" t="s">
        <v>19</v>
      </c>
      <c r="B995" t="s">
        <v>21</v>
      </c>
      <c r="C995" t="s">
        <v>52</v>
      </c>
      <c r="D995" s="2">
        <v>44774</v>
      </c>
      <c r="E995" s="1" t="str">
        <f>TEXT(Table1[[#This Row],[Date]],"ddd")</f>
        <v>Mon</v>
      </c>
      <c r="F995" s="1" t="str">
        <f>TEXT(Table1[[#This Row],[Date]],"mmm")</f>
        <v>Aug</v>
      </c>
      <c r="G995" s="7">
        <v>13062</v>
      </c>
      <c r="H995">
        <v>62</v>
      </c>
    </row>
    <row r="996" spans="1:8" x14ac:dyDescent="0.25">
      <c r="A996" t="s">
        <v>19</v>
      </c>
      <c r="B996" t="s">
        <v>7</v>
      </c>
      <c r="C996" t="s">
        <v>39</v>
      </c>
      <c r="D996" s="2">
        <v>44608</v>
      </c>
      <c r="E996" s="1" t="str">
        <f>TEXT(Table1[[#This Row],[Date]],"ddd")</f>
        <v>Wed</v>
      </c>
      <c r="F996" s="1" t="str">
        <f>TEXT(Table1[[#This Row],[Date]],"mmm")</f>
        <v>Feb</v>
      </c>
      <c r="G996" s="7">
        <v>12488</v>
      </c>
      <c r="H996">
        <v>200</v>
      </c>
    </row>
    <row r="997" spans="1:8" x14ac:dyDescent="0.25">
      <c r="A997" t="s">
        <v>38</v>
      </c>
      <c r="B997" t="s">
        <v>26</v>
      </c>
      <c r="C997" t="s">
        <v>20</v>
      </c>
      <c r="D997" s="2">
        <v>44664</v>
      </c>
      <c r="E997" s="1" t="str">
        <f>TEXT(Table1[[#This Row],[Date]],"ddd")</f>
        <v>Wed</v>
      </c>
      <c r="F997" s="1" t="str">
        <f>TEXT(Table1[[#This Row],[Date]],"mmm")</f>
        <v>Apr</v>
      </c>
      <c r="G997" s="7">
        <v>14147</v>
      </c>
      <c r="H997">
        <v>235</v>
      </c>
    </row>
    <row r="998" spans="1:8" x14ac:dyDescent="0.25">
      <c r="A998" t="s">
        <v>17</v>
      </c>
      <c r="B998" t="s">
        <v>10</v>
      </c>
      <c r="C998" t="s">
        <v>52</v>
      </c>
      <c r="D998" s="2">
        <v>44606</v>
      </c>
      <c r="E998" s="1" t="str">
        <f>TEXT(Table1[[#This Row],[Date]],"ddd")</f>
        <v>Mon</v>
      </c>
      <c r="F998" s="1" t="str">
        <f>TEXT(Table1[[#This Row],[Date]],"mmm")</f>
        <v>Feb</v>
      </c>
      <c r="G998" s="7">
        <v>49</v>
      </c>
      <c r="H998">
        <v>363</v>
      </c>
    </row>
    <row r="999" spans="1:8" x14ac:dyDescent="0.25">
      <c r="A999" t="s">
        <v>55</v>
      </c>
      <c r="B999" t="s">
        <v>15</v>
      </c>
      <c r="C999" t="s">
        <v>13</v>
      </c>
      <c r="D999" s="2">
        <v>44634</v>
      </c>
      <c r="E999" s="1" t="str">
        <f>TEXT(Table1[[#This Row],[Date]],"ddd")</f>
        <v>Mon</v>
      </c>
      <c r="F999" s="1" t="str">
        <f>TEXT(Table1[[#This Row],[Date]],"mmm")</f>
        <v>Mar</v>
      </c>
      <c r="G999" s="7">
        <v>10199</v>
      </c>
      <c r="H999">
        <v>68</v>
      </c>
    </row>
    <row r="1000" spans="1:8" x14ac:dyDescent="0.25">
      <c r="A1000" t="s">
        <v>17</v>
      </c>
      <c r="B1000" t="s">
        <v>15</v>
      </c>
      <c r="C1000" t="s">
        <v>39</v>
      </c>
      <c r="D1000" s="2">
        <v>44677</v>
      </c>
      <c r="E1000" s="1" t="str">
        <f>TEXT(Table1[[#This Row],[Date]],"ddd")</f>
        <v>Tue</v>
      </c>
      <c r="F1000" s="1" t="str">
        <f>TEXT(Table1[[#This Row],[Date]],"mmm")</f>
        <v>Apr</v>
      </c>
      <c r="G1000" s="7">
        <v>11389</v>
      </c>
      <c r="H1000">
        <v>26</v>
      </c>
    </row>
    <row r="1001" spans="1:8" x14ac:dyDescent="0.25">
      <c r="A1001" t="s">
        <v>6</v>
      </c>
      <c r="B1001" t="s">
        <v>29</v>
      </c>
      <c r="C1001" t="s">
        <v>45</v>
      </c>
      <c r="D1001" s="2">
        <v>44656</v>
      </c>
      <c r="E1001" s="1" t="str">
        <f>TEXT(Table1[[#This Row],[Date]],"ddd")</f>
        <v>Tue</v>
      </c>
      <c r="F1001" s="1" t="str">
        <f>TEXT(Table1[[#This Row],[Date]],"mmm")</f>
        <v>Apr</v>
      </c>
      <c r="G1001" s="7">
        <v>3584</v>
      </c>
      <c r="H1001">
        <v>200</v>
      </c>
    </row>
    <row r="1002" spans="1:8" x14ac:dyDescent="0.25">
      <c r="A1002" t="s">
        <v>50</v>
      </c>
      <c r="B1002" t="s">
        <v>29</v>
      </c>
      <c r="C1002" t="s">
        <v>32</v>
      </c>
      <c r="D1002" s="2">
        <v>44623</v>
      </c>
      <c r="E1002" s="1" t="str">
        <f>TEXT(Table1[[#This Row],[Date]],"ddd")</f>
        <v>Thu</v>
      </c>
      <c r="F1002" s="1" t="str">
        <f>TEXT(Table1[[#This Row],[Date]],"mmm")</f>
        <v>Mar</v>
      </c>
      <c r="G1002" s="7">
        <v>12481</v>
      </c>
      <c r="H1002">
        <v>264</v>
      </c>
    </row>
    <row r="1003" spans="1:8" x14ac:dyDescent="0.25">
      <c r="A1003" t="s">
        <v>41</v>
      </c>
      <c r="B1003" t="s">
        <v>26</v>
      </c>
      <c r="C1003" t="s">
        <v>39</v>
      </c>
      <c r="D1003" s="2">
        <v>44725</v>
      </c>
      <c r="E1003" s="1" t="str">
        <f>TEXT(Table1[[#This Row],[Date]],"ddd")</f>
        <v>Mon</v>
      </c>
      <c r="F1003" s="1" t="str">
        <f>TEXT(Table1[[#This Row],[Date]],"mmm")</f>
        <v>Jun</v>
      </c>
      <c r="G1003" s="7">
        <v>2107</v>
      </c>
      <c r="H1003">
        <v>175</v>
      </c>
    </row>
    <row r="1004" spans="1:8" x14ac:dyDescent="0.25">
      <c r="A1004" t="s">
        <v>33</v>
      </c>
      <c r="B1004" t="s">
        <v>21</v>
      </c>
      <c r="C1004" t="s">
        <v>58</v>
      </c>
      <c r="D1004" s="2">
        <v>44606</v>
      </c>
      <c r="E1004" s="1" t="str">
        <f>TEXT(Table1[[#This Row],[Date]],"ddd")</f>
        <v>Mon</v>
      </c>
      <c r="F1004" s="1" t="str">
        <f>TEXT(Table1[[#This Row],[Date]],"mmm")</f>
        <v>Feb</v>
      </c>
      <c r="G1004" s="7">
        <v>8603</v>
      </c>
      <c r="H1004">
        <v>352</v>
      </c>
    </row>
    <row r="1005" spans="1:8" x14ac:dyDescent="0.25">
      <c r="A1005" t="s">
        <v>36</v>
      </c>
      <c r="B1005" t="s">
        <v>21</v>
      </c>
      <c r="C1005" t="s">
        <v>18</v>
      </c>
      <c r="D1005" s="2">
        <v>44669</v>
      </c>
      <c r="E1005" s="1" t="str">
        <f>TEXT(Table1[[#This Row],[Date]],"ddd")</f>
        <v>Mon</v>
      </c>
      <c r="F1005" s="1" t="str">
        <f>TEXT(Table1[[#This Row],[Date]],"mmm")</f>
        <v>Apr</v>
      </c>
      <c r="G1005" s="7">
        <v>7483</v>
      </c>
      <c r="H1005">
        <v>183</v>
      </c>
    </row>
    <row r="1006" spans="1:8" x14ac:dyDescent="0.25">
      <c r="A1006" t="s">
        <v>17</v>
      </c>
      <c r="B1006" t="s">
        <v>21</v>
      </c>
      <c r="C1006" t="s">
        <v>11</v>
      </c>
      <c r="D1006" s="2">
        <v>44593</v>
      </c>
      <c r="E1006" s="1" t="str">
        <f>TEXT(Table1[[#This Row],[Date]],"ddd")</f>
        <v>Tue</v>
      </c>
      <c r="F1006" s="1" t="str">
        <f>TEXT(Table1[[#This Row],[Date]],"mmm")</f>
        <v>Feb</v>
      </c>
      <c r="G1006" s="7">
        <v>3381</v>
      </c>
      <c r="H1006">
        <v>417</v>
      </c>
    </row>
    <row r="1007" spans="1:8" x14ac:dyDescent="0.25">
      <c r="A1007" t="s">
        <v>54</v>
      </c>
      <c r="B1007" t="s">
        <v>21</v>
      </c>
      <c r="C1007" t="s">
        <v>27</v>
      </c>
      <c r="D1007" s="2">
        <v>44777</v>
      </c>
      <c r="E1007" s="1" t="str">
        <f>TEXT(Table1[[#This Row],[Date]],"ddd")</f>
        <v>Thu</v>
      </c>
      <c r="F1007" s="1" t="str">
        <f>TEXT(Table1[[#This Row],[Date]],"mmm")</f>
        <v>Aug</v>
      </c>
      <c r="G1007" s="7">
        <v>2030</v>
      </c>
      <c r="H1007">
        <v>146</v>
      </c>
    </row>
    <row r="1008" spans="1:8" x14ac:dyDescent="0.25">
      <c r="A1008" t="s">
        <v>48</v>
      </c>
      <c r="B1008" t="s">
        <v>21</v>
      </c>
      <c r="C1008" t="s">
        <v>47</v>
      </c>
      <c r="D1008" s="2">
        <v>44656</v>
      </c>
      <c r="E1008" s="1" t="str">
        <f>TEXT(Table1[[#This Row],[Date]],"ddd")</f>
        <v>Tue</v>
      </c>
      <c r="F1008" s="1" t="str">
        <f>TEXT(Table1[[#This Row],[Date]],"mmm")</f>
        <v>Apr</v>
      </c>
      <c r="G1008" s="7">
        <v>6559</v>
      </c>
      <c r="H1008">
        <v>158</v>
      </c>
    </row>
    <row r="1009" spans="1:8" x14ac:dyDescent="0.25">
      <c r="A1009" t="s">
        <v>31</v>
      </c>
      <c r="B1009" t="s">
        <v>15</v>
      </c>
      <c r="C1009" t="s">
        <v>18</v>
      </c>
      <c r="D1009" s="2">
        <v>44587</v>
      </c>
      <c r="E1009" s="1" t="str">
        <f>TEXT(Table1[[#This Row],[Date]],"ddd")</f>
        <v>Wed</v>
      </c>
      <c r="F1009" s="1" t="str">
        <f>TEXT(Table1[[#This Row],[Date]],"mmm")</f>
        <v>Jan</v>
      </c>
      <c r="G1009" s="7">
        <v>10822</v>
      </c>
      <c r="H1009">
        <v>168</v>
      </c>
    </row>
    <row r="1010" spans="1:8" x14ac:dyDescent="0.25">
      <c r="A1010" t="s">
        <v>41</v>
      </c>
      <c r="B1010" t="s">
        <v>7</v>
      </c>
      <c r="C1010" t="s">
        <v>20</v>
      </c>
      <c r="D1010" s="2">
        <v>44582</v>
      </c>
      <c r="E1010" s="1" t="str">
        <f>TEXT(Table1[[#This Row],[Date]],"ddd")</f>
        <v>Fri</v>
      </c>
      <c r="F1010" s="1" t="str">
        <f>TEXT(Table1[[#This Row],[Date]],"mmm")</f>
        <v>Jan</v>
      </c>
      <c r="G1010" s="7">
        <v>18697</v>
      </c>
      <c r="H1010">
        <v>176</v>
      </c>
    </row>
    <row r="1011" spans="1:8" x14ac:dyDescent="0.25">
      <c r="A1011" t="s">
        <v>41</v>
      </c>
      <c r="B1011" t="s">
        <v>29</v>
      </c>
      <c r="C1011" t="s">
        <v>20</v>
      </c>
      <c r="D1011" s="2">
        <v>44795</v>
      </c>
      <c r="E1011" s="1" t="str">
        <f>TEXT(Table1[[#This Row],[Date]],"ddd")</f>
        <v>Mon</v>
      </c>
      <c r="F1011" s="1" t="str">
        <f>TEXT(Table1[[#This Row],[Date]],"mmm")</f>
        <v>Aug</v>
      </c>
      <c r="G1011" s="7">
        <v>5845</v>
      </c>
      <c r="H1011">
        <v>172</v>
      </c>
    </row>
    <row r="1012" spans="1:8" x14ac:dyDescent="0.25">
      <c r="A1012" t="s">
        <v>41</v>
      </c>
      <c r="B1012" t="s">
        <v>7</v>
      </c>
      <c r="C1012" t="s">
        <v>32</v>
      </c>
      <c r="D1012" s="2">
        <v>44588</v>
      </c>
      <c r="E1012" s="1" t="str">
        <f>TEXT(Table1[[#This Row],[Date]],"ddd")</f>
        <v>Thu</v>
      </c>
      <c r="F1012" s="1" t="str">
        <f>TEXT(Table1[[#This Row],[Date]],"mmm")</f>
        <v>Jan</v>
      </c>
      <c r="G1012" s="7">
        <v>2317</v>
      </c>
      <c r="H1012">
        <v>224</v>
      </c>
    </row>
    <row r="1013" spans="1:8" x14ac:dyDescent="0.25">
      <c r="A1013" t="s">
        <v>24</v>
      </c>
      <c r="B1013" t="s">
        <v>7</v>
      </c>
      <c r="C1013" t="s">
        <v>22</v>
      </c>
      <c r="D1013" s="2">
        <v>44608</v>
      </c>
      <c r="E1013" s="1" t="str">
        <f>TEXT(Table1[[#This Row],[Date]],"ddd")</f>
        <v>Wed</v>
      </c>
      <c r="F1013" s="1" t="str">
        <f>TEXT(Table1[[#This Row],[Date]],"mmm")</f>
        <v>Feb</v>
      </c>
      <c r="G1013" s="7">
        <v>10150</v>
      </c>
      <c r="H1013">
        <v>68</v>
      </c>
    </row>
    <row r="1014" spans="1:8" x14ac:dyDescent="0.25">
      <c r="A1014" t="s">
        <v>54</v>
      </c>
      <c r="B1014" t="s">
        <v>26</v>
      </c>
      <c r="C1014" t="s">
        <v>51</v>
      </c>
      <c r="D1014" s="2">
        <v>44564</v>
      </c>
      <c r="E1014" s="1" t="str">
        <f>TEXT(Table1[[#This Row],[Date]],"ddd")</f>
        <v>Mon</v>
      </c>
      <c r="F1014" s="1" t="str">
        <f>TEXT(Table1[[#This Row],[Date]],"mmm")</f>
        <v>Jan</v>
      </c>
      <c r="G1014" s="7">
        <v>3437</v>
      </c>
      <c r="H1014">
        <v>46</v>
      </c>
    </row>
    <row r="1015" spans="1:8" x14ac:dyDescent="0.25">
      <c r="A1015" t="s">
        <v>31</v>
      </c>
      <c r="B1015" t="s">
        <v>26</v>
      </c>
      <c r="C1015" t="s">
        <v>44</v>
      </c>
      <c r="D1015" s="2">
        <v>44797</v>
      </c>
      <c r="E1015" s="1" t="str">
        <f>TEXT(Table1[[#This Row],[Date]],"ddd")</f>
        <v>Wed</v>
      </c>
      <c r="F1015" s="1" t="str">
        <f>TEXT(Table1[[#This Row],[Date]],"mmm")</f>
        <v>Aug</v>
      </c>
      <c r="G1015" s="7">
        <v>4592</v>
      </c>
      <c r="H1015">
        <v>2</v>
      </c>
    </row>
    <row r="1016" spans="1:8" x14ac:dyDescent="0.25">
      <c r="A1016" t="s">
        <v>17</v>
      </c>
      <c r="B1016" t="s">
        <v>26</v>
      </c>
      <c r="C1016" t="s">
        <v>39</v>
      </c>
      <c r="D1016" s="2">
        <v>44599</v>
      </c>
      <c r="E1016" s="1" t="str">
        <f>TEXT(Table1[[#This Row],[Date]],"ddd")</f>
        <v>Mon</v>
      </c>
      <c r="F1016" s="1" t="str">
        <f>TEXT(Table1[[#This Row],[Date]],"mmm")</f>
        <v>Feb</v>
      </c>
      <c r="G1016" s="7">
        <v>5691</v>
      </c>
      <c r="H1016">
        <v>417</v>
      </c>
    </row>
    <row r="1017" spans="1:8" x14ac:dyDescent="0.25">
      <c r="A1017" t="s">
        <v>28</v>
      </c>
      <c r="B1017" t="s">
        <v>15</v>
      </c>
      <c r="C1017" t="s">
        <v>16</v>
      </c>
      <c r="D1017" s="2">
        <v>44603</v>
      </c>
      <c r="E1017" s="1" t="str">
        <f>TEXT(Table1[[#This Row],[Date]],"ddd")</f>
        <v>Fri</v>
      </c>
      <c r="F1017" s="1" t="str">
        <f>TEXT(Table1[[#This Row],[Date]],"mmm")</f>
        <v>Feb</v>
      </c>
      <c r="G1017" s="7">
        <v>4158</v>
      </c>
      <c r="H1017">
        <v>109</v>
      </c>
    </row>
    <row r="1018" spans="1:8" x14ac:dyDescent="0.25">
      <c r="A1018" t="s">
        <v>41</v>
      </c>
      <c r="B1018" t="s">
        <v>29</v>
      </c>
      <c r="C1018" t="s">
        <v>35</v>
      </c>
      <c r="D1018" s="2">
        <v>44649</v>
      </c>
      <c r="E1018" s="1" t="str">
        <f>TEXT(Table1[[#This Row],[Date]],"ddd")</f>
        <v>Tue</v>
      </c>
      <c r="F1018" s="1" t="str">
        <f>TEXT(Table1[[#This Row],[Date]],"mmm")</f>
        <v>Mar</v>
      </c>
      <c r="G1018" s="7">
        <v>5684</v>
      </c>
      <c r="H1018">
        <v>81</v>
      </c>
    </row>
    <row r="1019" spans="1:8" x14ac:dyDescent="0.25">
      <c r="A1019" t="s">
        <v>33</v>
      </c>
      <c r="B1019" t="s">
        <v>26</v>
      </c>
      <c r="C1019" t="s">
        <v>13</v>
      </c>
      <c r="D1019" s="2">
        <v>44727</v>
      </c>
      <c r="E1019" s="1" t="str">
        <f>TEXT(Table1[[#This Row],[Date]],"ddd")</f>
        <v>Wed</v>
      </c>
      <c r="F1019" s="1" t="str">
        <f>TEXT(Table1[[#This Row],[Date]],"mmm")</f>
        <v>Jun</v>
      </c>
      <c r="G1019" s="7">
        <v>693</v>
      </c>
      <c r="H1019">
        <v>350</v>
      </c>
    </row>
    <row r="1020" spans="1:8" x14ac:dyDescent="0.25">
      <c r="A1020" t="s">
        <v>43</v>
      </c>
      <c r="B1020" t="s">
        <v>7</v>
      </c>
      <c r="C1020" t="s">
        <v>16</v>
      </c>
      <c r="D1020" s="2">
        <v>44677</v>
      </c>
      <c r="E1020" s="1" t="str">
        <f>TEXT(Table1[[#This Row],[Date]],"ddd")</f>
        <v>Tue</v>
      </c>
      <c r="F1020" s="1" t="str">
        <f>TEXT(Table1[[#This Row],[Date]],"mmm")</f>
        <v>Apr</v>
      </c>
      <c r="G1020" s="7">
        <v>546</v>
      </c>
      <c r="H1020">
        <v>142</v>
      </c>
    </row>
    <row r="1021" spans="1:8" x14ac:dyDescent="0.25">
      <c r="A1021" t="s">
        <v>23</v>
      </c>
      <c r="B1021" t="s">
        <v>15</v>
      </c>
      <c r="C1021" t="s">
        <v>35</v>
      </c>
      <c r="D1021" s="2">
        <v>44757</v>
      </c>
      <c r="E1021" s="1" t="str">
        <f>TEXT(Table1[[#This Row],[Date]],"ddd")</f>
        <v>Fri</v>
      </c>
      <c r="F1021" s="1" t="str">
        <f>TEXT(Table1[[#This Row],[Date]],"mmm")</f>
        <v>Jul</v>
      </c>
      <c r="G1021" s="7">
        <v>4263</v>
      </c>
      <c r="H1021">
        <v>264</v>
      </c>
    </row>
    <row r="1022" spans="1:8" x14ac:dyDescent="0.25">
      <c r="A1022" t="s">
        <v>34</v>
      </c>
      <c r="B1022" t="s">
        <v>10</v>
      </c>
      <c r="C1022" t="s">
        <v>35</v>
      </c>
      <c r="D1022" s="2">
        <v>44735</v>
      </c>
      <c r="E1022" s="1" t="str">
        <f>TEXT(Table1[[#This Row],[Date]],"ddd")</f>
        <v>Thu</v>
      </c>
      <c r="F1022" s="1" t="str">
        <f>TEXT(Table1[[#This Row],[Date]],"mmm")</f>
        <v>Jun</v>
      </c>
      <c r="G1022" s="7">
        <v>1036</v>
      </c>
      <c r="H1022">
        <v>20</v>
      </c>
    </row>
    <row r="1023" spans="1:8" x14ac:dyDescent="0.25">
      <c r="A1023" t="s">
        <v>43</v>
      </c>
      <c r="B1023" t="s">
        <v>15</v>
      </c>
      <c r="C1023" t="s">
        <v>56</v>
      </c>
      <c r="D1023" s="2">
        <v>44572</v>
      </c>
      <c r="E1023" s="1" t="str">
        <f>TEXT(Table1[[#This Row],[Date]],"ddd")</f>
        <v>Tue</v>
      </c>
      <c r="F1023" s="1" t="str">
        <f>TEXT(Table1[[#This Row],[Date]],"mmm")</f>
        <v>Jan</v>
      </c>
      <c r="G1023" s="7">
        <v>13846</v>
      </c>
      <c r="H1023">
        <v>421</v>
      </c>
    </row>
    <row r="1024" spans="1:8" x14ac:dyDescent="0.25">
      <c r="A1024" t="s">
        <v>34</v>
      </c>
      <c r="B1024" t="s">
        <v>7</v>
      </c>
      <c r="C1024" t="s">
        <v>22</v>
      </c>
      <c r="D1024" s="2">
        <v>44601</v>
      </c>
      <c r="E1024" s="1" t="str">
        <f>TEXT(Table1[[#This Row],[Date]],"ddd")</f>
        <v>Wed</v>
      </c>
      <c r="F1024" s="1" t="str">
        <f>TEXT(Table1[[#This Row],[Date]],"mmm")</f>
        <v>Feb</v>
      </c>
      <c r="G1024" s="7">
        <v>2499</v>
      </c>
      <c r="H1024">
        <v>271</v>
      </c>
    </row>
    <row r="1025" spans="1:8" x14ac:dyDescent="0.25">
      <c r="A1025" t="s">
        <v>9</v>
      </c>
      <c r="B1025" t="s">
        <v>7</v>
      </c>
      <c r="C1025" t="s">
        <v>47</v>
      </c>
      <c r="D1025" s="2">
        <v>44718</v>
      </c>
      <c r="E1025" s="1" t="str">
        <f>TEXT(Table1[[#This Row],[Date]],"ddd")</f>
        <v>Mon</v>
      </c>
      <c r="F1025" s="1" t="str">
        <f>TEXT(Table1[[#This Row],[Date]],"mmm")</f>
        <v>Jun</v>
      </c>
      <c r="G1025" s="7">
        <v>10689</v>
      </c>
      <c r="H1025">
        <v>204</v>
      </c>
    </row>
    <row r="1026" spans="1:8" x14ac:dyDescent="0.25">
      <c r="A1026" t="s">
        <v>54</v>
      </c>
      <c r="B1026" t="s">
        <v>7</v>
      </c>
      <c r="C1026" t="s">
        <v>57</v>
      </c>
      <c r="D1026" s="2">
        <v>44783</v>
      </c>
      <c r="E1026" s="1" t="str">
        <f>TEXT(Table1[[#This Row],[Date]],"ddd")</f>
        <v>Wed</v>
      </c>
      <c r="F1026" s="1" t="str">
        <f>TEXT(Table1[[#This Row],[Date]],"mmm")</f>
        <v>Aug</v>
      </c>
      <c r="G1026" s="7">
        <v>5768</v>
      </c>
      <c r="H1026">
        <v>235</v>
      </c>
    </row>
    <row r="1027" spans="1:8" x14ac:dyDescent="0.25">
      <c r="A1027" t="s">
        <v>46</v>
      </c>
      <c r="B1027" t="s">
        <v>15</v>
      </c>
      <c r="C1027" t="s">
        <v>16</v>
      </c>
      <c r="D1027" s="2">
        <v>44565</v>
      </c>
      <c r="E1027" s="1" t="str">
        <f>TEXT(Table1[[#This Row],[Date]],"ddd")</f>
        <v>Tue</v>
      </c>
      <c r="F1027" s="1" t="str">
        <f>TEXT(Table1[[#This Row],[Date]],"mmm")</f>
        <v>Jan</v>
      </c>
      <c r="G1027" s="7">
        <v>2226</v>
      </c>
      <c r="H1027">
        <v>46</v>
      </c>
    </row>
    <row r="1028" spans="1:8" x14ac:dyDescent="0.25">
      <c r="A1028" t="s">
        <v>48</v>
      </c>
      <c r="B1028" t="s">
        <v>29</v>
      </c>
      <c r="C1028" t="s">
        <v>58</v>
      </c>
      <c r="D1028" s="2">
        <v>44659</v>
      </c>
      <c r="E1028" s="1" t="str">
        <f>TEXT(Table1[[#This Row],[Date]],"ddd")</f>
        <v>Fri</v>
      </c>
      <c r="F1028" s="1" t="str">
        <f>TEXT(Table1[[#This Row],[Date]],"mmm")</f>
        <v>Apr</v>
      </c>
      <c r="G1028" s="7">
        <v>10262</v>
      </c>
      <c r="H1028">
        <v>15</v>
      </c>
    </row>
    <row r="1029" spans="1:8" x14ac:dyDescent="0.25">
      <c r="A1029" t="s">
        <v>25</v>
      </c>
      <c r="B1029" t="s">
        <v>7</v>
      </c>
      <c r="C1029" t="s">
        <v>37</v>
      </c>
      <c r="D1029" s="2">
        <v>44622</v>
      </c>
      <c r="E1029" s="1" t="str">
        <f>TEXT(Table1[[#This Row],[Date]],"ddd")</f>
        <v>Wed</v>
      </c>
      <c r="F1029" s="1" t="str">
        <f>TEXT(Table1[[#This Row],[Date]],"mmm")</f>
        <v>Mar</v>
      </c>
      <c r="G1029" s="7">
        <v>3864</v>
      </c>
      <c r="H1029">
        <v>430</v>
      </c>
    </row>
    <row r="1030" spans="1:8" x14ac:dyDescent="0.25">
      <c r="A1030" t="s">
        <v>9</v>
      </c>
      <c r="B1030" t="s">
        <v>29</v>
      </c>
      <c r="C1030" t="s">
        <v>32</v>
      </c>
      <c r="D1030" s="2">
        <v>44727</v>
      </c>
      <c r="E1030" s="1" t="str">
        <f>TEXT(Table1[[#This Row],[Date]],"ddd")</f>
        <v>Wed</v>
      </c>
      <c r="F1030" s="1" t="str">
        <f>TEXT(Table1[[#This Row],[Date]],"mmm")</f>
        <v>Jun</v>
      </c>
      <c r="G1030" s="7">
        <v>4900</v>
      </c>
      <c r="H1030">
        <v>709</v>
      </c>
    </row>
    <row r="1031" spans="1:8" x14ac:dyDescent="0.25">
      <c r="A1031" t="s">
        <v>6</v>
      </c>
      <c r="B1031" t="s">
        <v>15</v>
      </c>
      <c r="C1031" t="s">
        <v>20</v>
      </c>
      <c r="D1031" s="2">
        <v>44606</v>
      </c>
      <c r="E1031" s="1" t="str">
        <f>TEXT(Table1[[#This Row],[Date]],"ddd")</f>
        <v>Mon</v>
      </c>
      <c r="F1031" s="1" t="str">
        <f>TEXT(Table1[[#This Row],[Date]],"mmm")</f>
        <v>Feb</v>
      </c>
      <c r="G1031" s="7">
        <v>5250</v>
      </c>
      <c r="H1031">
        <v>47</v>
      </c>
    </row>
    <row r="1032" spans="1:8" x14ac:dyDescent="0.25">
      <c r="A1032" t="s">
        <v>40</v>
      </c>
      <c r="B1032" t="s">
        <v>7</v>
      </c>
      <c r="C1032" t="s">
        <v>20</v>
      </c>
      <c r="D1032" s="2">
        <v>44747</v>
      </c>
      <c r="E1032" s="1" t="str">
        <f>TEXT(Table1[[#This Row],[Date]],"ddd")</f>
        <v>Tue</v>
      </c>
      <c r="F1032" s="1" t="str">
        <f>TEXT(Table1[[#This Row],[Date]],"mmm")</f>
        <v>Jul</v>
      </c>
      <c r="G1032" s="7">
        <v>3507</v>
      </c>
      <c r="H1032">
        <v>380</v>
      </c>
    </row>
    <row r="1033" spans="1:8" x14ac:dyDescent="0.25">
      <c r="A1033" t="s">
        <v>25</v>
      </c>
      <c r="B1033" t="s">
        <v>10</v>
      </c>
      <c r="C1033" t="s">
        <v>8</v>
      </c>
      <c r="D1033" s="2">
        <v>44573</v>
      </c>
      <c r="E1033" s="1" t="str">
        <f>TEXT(Table1[[#This Row],[Date]],"ddd")</f>
        <v>Wed</v>
      </c>
      <c r="F1033" s="1" t="str">
        <f>TEXT(Table1[[#This Row],[Date]],"mmm")</f>
        <v>Jan</v>
      </c>
      <c r="G1033" s="7">
        <v>7413</v>
      </c>
      <c r="H1033">
        <v>465</v>
      </c>
    </row>
    <row r="1034" spans="1:8" x14ac:dyDescent="0.25">
      <c r="A1034" t="s">
        <v>38</v>
      </c>
      <c r="B1034" t="s">
        <v>10</v>
      </c>
      <c r="C1034" t="s">
        <v>8</v>
      </c>
      <c r="D1034" s="2">
        <v>44623</v>
      </c>
      <c r="E1034" s="1" t="str">
        <f>TEXT(Table1[[#This Row],[Date]],"ddd")</f>
        <v>Thu</v>
      </c>
      <c r="F1034" s="1" t="str">
        <f>TEXT(Table1[[#This Row],[Date]],"mmm")</f>
        <v>Mar</v>
      </c>
      <c r="G1034" s="7">
        <v>8155</v>
      </c>
      <c r="H1034">
        <v>96</v>
      </c>
    </row>
    <row r="1035" spans="1:8" x14ac:dyDescent="0.25">
      <c r="A1035" t="s">
        <v>6</v>
      </c>
      <c r="B1035" t="s">
        <v>21</v>
      </c>
      <c r="C1035" t="s">
        <v>37</v>
      </c>
      <c r="D1035" s="2">
        <v>44699</v>
      </c>
      <c r="E1035" s="1" t="str">
        <f>TEXT(Table1[[#This Row],[Date]],"ddd")</f>
        <v>Wed</v>
      </c>
      <c r="F1035" s="1" t="str">
        <f>TEXT(Table1[[#This Row],[Date]],"mmm")</f>
        <v>May</v>
      </c>
      <c r="G1035" s="7">
        <v>2478</v>
      </c>
      <c r="H1035">
        <v>188</v>
      </c>
    </row>
    <row r="1036" spans="1:8" x14ac:dyDescent="0.25">
      <c r="A1036" t="s">
        <v>19</v>
      </c>
      <c r="B1036" t="s">
        <v>10</v>
      </c>
      <c r="C1036" t="s">
        <v>57</v>
      </c>
      <c r="D1036" s="2">
        <v>44770</v>
      </c>
      <c r="E1036" s="1" t="str">
        <f>TEXT(Table1[[#This Row],[Date]],"ddd")</f>
        <v>Thu</v>
      </c>
      <c r="F1036" s="1" t="str">
        <f>TEXT(Table1[[#This Row],[Date]],"mmm")</f>
        <v>Jul</v>
      </c>
      <c r="G1036" s="7">
        <v>2471</v>
      </c>
      <c r="H1036">
        <v>202</v>
      </c>
    </row>
    <row r="1037" spans="1:8" x14ac:dyDescent="0.25">
      <c r="A1037" t="s">
        <v>38</v>
      </c>
      <c r="B1037" t="s">
        <v>7</v>
      </c>
      <c r="C1037" t="s">
        <v>45</v>
      </c>
      <c r="D1037" s="2">
        <v>44599</v>
      </c>
      <c r="E1037" s="1" t="str">
        <f>TEXT(Table1[[#This Row],[Date]],"ddd")</f>
        <v>Mon</v>
      </c>
      <c r="F1037" s="1" t="str">
        <f>TEXT(Table1[[#This Row],[Date]],"mmm")</f>
        <v>Feb</v>
      </c>
      <c r="G1037" s="7">
        <v>1666</v>
      </c>
      <c r="H1037">
        <v>106</v>
      </c>
    </row>
    <row r="1038" spans="1:8" x14ac:dyDescent="0.25">
      <c r="A1038" t="s">
        <v>48</v>
      </c>
      <c r="B1038" t="s">
        <v>10</v>
      </c>
      <c r="C1038" t="s">
        <v>27</v>
      </c>
      <c r="D1038" s="2">
        <v>44711</v>
      </c>
      <c r="E1038" s="1" t="str">
        <f>TEXT(Table1[[#This Row],[Date]],"ddd")</f>
        <v>Mon</v>
      </c>
      <c r="F1038" s="1" t="str">
        <f>TEXT(Table1[[#This Row],[Date]],"mmm")</f>
        <v>May</v>
      </c>
      <c r="G1038" s="7">
        <v>301</v>
      </c>
      <c r="H1038">
        <v>421</v>
      </c>
    </row>
    <row r="1039" spans="1:8" x14ac:dyDescent="0.25">
      <c r="A1039" t="s">
        <v>28</v>
      </c>
      <c r="B1039" t="s">
        <v>15</v>
      </c>
      <c r="C1039" t="s">
        <v>51</v>
      </c>
      <c r="D1039" s="2">
        <v>44676</v>
      </c>
      <c r="E1039" s="1" t="str">
        <f>TEXT(Table1[[#This Row],[Date]],"ddd")</f>
        <v>Mon</v>
      </c>
      <c r="F1039" s="1" t="str">
        <f>TEXT(Table1[[#This Row],[Date]],"mmm")</f>
        <v>Apr</v>
      </c>
      <c r="G1039" s="7">
        <v>8400</v>
      </c>
      <c r="H1039">
        <v>27</v>
      </c>
    </row>
    <row r="1040" spans="1:8" x14ac:dyDescent="0.25">
      <c r="A1040" t="s">
        <v>34</v>
      </c>
      <c r="B1040" t="s">
        <v>29</v>
      </c>
      <c r="C1040" t="s">
        <v>11</v>
      </c>
      <c r="D1040" s="2">
        <v>44608</v>
      </c>
      <c r="E1040" s="1" t="str">
        <f>TEXT(Table1[[#This Row],[Date]],"ddd")</f>
        <v>Wed</v>
      </c>
      <c r="F1040" s="1" t="str">
        <f>TEXT(Table1[[#This Row],[Date]],"mmm")</f>
        <v>Feb</v>
      </c>
      <c r="G1040" s="7">
        <v>6139</v>
      </c>
      <c r="H1040">
        <v>45</v>
      </c>
    </row>
    <row r="1041" spans="1:8" x14ac:dyDescent="0.25">
      <c r="A1041" t="s">
        <v>49</v>
      </c>
      <c r="B1041" t="s">
        <v>15</v>
      </c>
      <c r="C1041" t="s">
        <v>32</v>
      </c>
      <c r="D1041" s="2">
        <v>44685</v>
      </c>
      <c r="E1041" s="1" t="str">
        <f>TEXT(Table1[[#This Row],[Date]],"ddd")</f>
        <v>Wed</v>
      </c>
      <c r="F1041" s="1" t="str">
        <f>TEXT(Table1[[#This Row],[Date]],"mmm")</f>
        <v>May</v>
      </c>
      <c r="G1041" s="7">
        <v>1288</v>
      </c>
      <c r="H1041">
        <v>60</v>
      </c>
    </row>
    <row r="1042" spans="1:8" x14ac:dyDescent="0.25">
      <c r="A1042" t="s">
        <v>9</v>
      </c>
      <c r="B1042" t="s">
        <v>29</v>
      </c>
      <c r="C1042" t="s">
        <v>58</v>
      </c>
      <c r="D1042" s="2">
        <v>44714</v>
      </c>
      <c r="E1042" s="1" t="str">
        <f>TEXT(Table1[[#This Row],[Date]],"ddd")</f>
        <v>Thu</v>
      </c>
      <c r="F1042" s="1" t="str">
        <f>TEXT(Table1[[#This Row],[Date]],"mmm")</f>
        <v>Jun</v>
      </c>
      <c r="G1042" s="7">
        <v>7077</v>
      </c>
      <c r="H1042">
        <v>77</v>
      </c>
    </row>
    <row r="1043" spans="1:8" x14ac:dyDescent="0.25">
      <c r="A1043" t="s">
        <v>43</v>
      </c>
      <c r="B1043" t="s">
        <v>26</v>
      </c>
      <c r="C1043" t="s">
        <v>57</v>
      </c>
      <c r="D1043" s="2">
        <v>44753</v>
      </c>
      <c r="E1043" s="1" t="str">
        <f>TEXT(Table1[[#This Row],[Date]],"ddd")</f>
        <v>Mon</v>
      </c>
      <c r="F1043" s="1" t="str">
        <f>TEXT(Table1[[#This Row],[Date]],"mmm")</f>
        <v>Jul</v>
      </c>
      <c r="G1043" s="7">
        <v>2317</v>
      </c>
      <c r="H1043">
        <v>464</v>
      </c>
    </row>
    <row r="1044" spans="1:8" x14ac:dyDescent="0.25">
      <c r="A1044" t="s">
        <v>34</v>
      </c>
      <c r="B1044" t="s">
        <v>21</v>
      </c>
      <c r="C1044" t="s">
        <v>39</v>
      </c>
      <c r="D1044" s="2">
        <v>44719</v>
      </c>
      <c r="E1044" s="1" t="str">
        <f>TEXT(Table1[[#This Row],[Date]],"ddd")</f>
        <v>Tue</v>
      </c>
      <c r="F1044" s="1" t="str">
        <f>TEXT(Table1[[#This Row],[Date]],"mmm")</f>
        <v>Jun</v>
      </c>
      <c r="G1044" s="7">
        <v>63</v>
      </c>
      <c r="H1044">
        <v>60</v>
      </c>
    </row>
    <row r="1045" spans="1:8" x14ac:dyDescent="0.25">
      <c r="A1045" t="s">
        <v>14</v>
      </c>
      <c r="B1045" t="s">
        <v>7</v>
      </c>
      <c r="C1045" t="s">
        <v>47</v>
      </c>
      <c r="D1045" s="2">
        <v>44748</v>
      </c>
      <c r="E1045" s="1" t="str">
        <f>TEXT(Table1[[#This Row],[Date]],"ddd")</f>
        <v>Wed</v>
      </c>
      <c r="F1045" s="1" t="str">
        <f>TEXT(Table1[[#This Row],[Date]],"mmm")</f>
        <v>Jul</v>
      </c>
      <c r="G1045" s="7">
        <v>9744</v>
      </c>
      <c r="H1045">
        <v>157</v>
      </c>
    </row>
    <row r="1046" spans="1:8" x14ac:dyDescent="0.25">
      <c r="A1046" t="s">
        <v>40</v>
      </c>
      <c r="B1046" t="s">
        <v>10</v>
      </c>
      <c r="C1046" t="s">
        <v>51</v>
      </c>
      <c r="D1046" s="2">
        <v>44727</v>
      </c>
      <c r="E1046" s="1" t="str">
        <f>TEXT(Table1[[#This Row],[Date]],"ddd")</f>
        <v>Wed</v>
      </c>
      <c r="F1046" s="1" t="str">
        <f>TEXT(Table1[[#This Row],[Date]],"mmm")</f>
        <v>Jun</v>
      </c>
      <c r="G1046" s="7">
        <v>9954</v>
      </c>
      <c r="H1046">
        <v>154</v>
      </c>
    </row>
    <row r="1047" spans="1:8" x14ac:dyDescent="0.25">
      <c r="A1047" t="s">
        <v>54</v>
      </c>
      <c r="B1047" t="s">
        <v>10</v>
      </c>
      <c r="C1047" t="s">
        <v>8</v>
      </c>
      <c r="D1047" s="2">
        <v>44665</v>
      </c>
      <c r="E1047" s="1" t="str">
        <f>TEXT(Table1[[#This Row],[Date]],"ddd")</f>
        <v>Thu</v>
      </c>
      <c r="F1047" s="1" t="str">
        <f>TEXT(Table1[[#This Row],[Date]],"mmm")</f>
        <v>Apr</v>
      </c>
      <c r="G1047" s="7">
        <v>1260</v>
      </c>
      <c r="H1047">
        <v>239</v>
      </c>
    </row>
    <row r="1048" spans="1:8" x14ac:dyDescent="0.25">
      <c r="A1048" t="s">
        <v>50</v>
      </c>
      <c r="B1048" t="s">
        <v>10</v>
      </c>
      <c r="C1048" t="s">
        <v>32</v>
      </c>
      <c r="D1048" s="2">
        <v>44781</v>
      </c>
      <c r="E1048" s="1" t="str">
        <f>TEXT(Table1[[#This Row],[Date]],"ddd")</f>
        <v>Mon</v>
      </c>
      <c r="F1048" s="1" t="str">
        <f>TEXT(Table1[[#This Row],[Date]],"mmm")</f>
        <v>Aug</v>
      </c>
      <c r="G1048" s="7">
        <v>469</v>
      </c>
      <c r="H1048">
        <v>163</v>
      </c>
    </row>
    <row r="1049" spans="1:8" x14ac:dyDescent="0.25">
      <c r="A1049" t="s">
        <v>33</v>
      </c>
      <c r="B1049" t="s">
        <v>7</v>
      </c>
      <c r="C1049" t="s">
        <v>32</v>
      </c>
      <c r="D1049" s="2">
        <v>44649</v>
      </c>
      <c r="E1049" s="1" t="str">
        <f>TEXT(Table1[[#This Row],[Date]],"ddd")</f>
        <v>Tue</v>
      </c>
      <c r="F1049" s="1" t="str">
        <f>TEXT(Table1[[#This Row],[Date]],"mmm")</f>
        <v>Mar</v>
      </c>
      <c r="G1049" s="7">
        <v>973</v>
      </c>
      <c r="H1049">
        <v>28</v>
      </c>
    </row>
    <row r="1050" spans="1:8" x14ac:dyDescent="0.25">
      <c r="A1050" t="s">
        <v>36</v>
      </c>
      <c r="B1050" t="s">
        <v>15</v>
      </c>
      <c r="C1050" t="s">
        <v>35</v>
      </c>
      <c r="D1050" s="2">
        <v>44746</v>
      </c>
      <c r="E1050" s="1" t="str">
        <f>TEXT(Table1[[#This Row],[Date]],"ddd")</f>
        <v>Mon</v>
      </c>
      <c r="F1050" s="1" t="str">
        <f>TEXT(Table1[[#This Row],[Date]],"mmm")</f>
        <v>Jul</v>
      </c>
      <c r="G1050" s="7">
        <v>3647</v>
      </c>
      <c r="H1050">
        <v>76</v>
      </c>
    </row>
    <row r="1051" spans="1:8" x14ac:dyDescent="0.25">
      <c r="A1051" t="s">
        <v>55</v>
      </c>
      <c r="B1051" t="s">
        <v>10</v>
      </c>
      <c r="C1051" t="s">
        <v>18</v>
      </c>
      <c r="D1051" s="2">
        <v>44608</v>
      </c>
      <c r="E1051" s="1" t="str">
        <f>TEXT(Table1[[#This Row],[Date]],"ddd")</f>
        <v>Wed</v>
      </c>
      <c r="F1051" s="1" t="str">
        <f>TEXT(Table1[[#This Row],[Date]],"mmm")</f>
        <v>Feb</v>
      </c>
      <c r="G1051" s="7">
        <v>455</v>
      </c>
      <c r="H1051">
        <v>96</v>
      </c>
    </row>
    <row r="1052" spans="1:8" x14ac:dyDescent="0.25">
      <c r="A1052" t="s">
        <v>24</v>
      </c>
      <c r="B1052" t="s">
        <v>29</v>
      </c>
      <c r="C1052" t="s">
        <v>39</v>
      </c>
      <c r="D1052" s="2">
        <v>44683</v>
      </c>
      <c r="E1052" s="1" t="str">
        <f>TEXT(Table1[[#This Row],[Date]],"ddd")</f>
        <v>Mon</v>
      </c>
      <c r="F1052" s="1" t="str">
        <f>TEXT(Table1[[#This Row],[Date]],"mmm")</f>
        <v>May</v>
      </c>
      <c r="G1052" s="7">
        <v>2520</v>
      </c>
      <c r="H1052">
        <v>156</v>
      </c>
    </row>
    <row r="1053" spans="1:8" x14ac:dyDescent="0.25">
      <c r="A1053" t="s">
        <v>9</v>
      </c>
      <c r="B1053" t="s">
        <v>10</v>
      </c>
      <c r="C1053" t="s">
        <v>30</v>
      </c>
      <c r="D1053" s="2">
        <v>44763</v>
      </c>
      <c r="E1053" s="1" t="str">
        <f>TEXT(Table1[[#This Row],[Date]],"ddd")</f>
        <v>Thu</v>
      </c>
      <c r="F1053" s="1" t="str">
        <f>TEXT(Table1[[#This Row],[Date]],"mmm")</f>
        <v>Jul</v>
      </c>
      <c r="G1053" s="7">
        <v>10500</v>
      </c>
      <c r="H1053">
        <v>106</v>
      </c>
    </row>
    <row r="1054" spans="1:8" x14ac:dyDescent="0.25">
      <c r="A1054" t="s">
        <v>19</v>
      </c>
      <c r="B1054" t="s">
        <v>15</v>
      </c>
      <c r="C1054" t="s">
        <v>18</v>
      </c>
      <c r="D1054" s="2">
        <v>44791</v>
      </c>
      <c r="E1054" s="1" t="str">
        <f>TEXT(Table1[[#This Row],[Date]],"ddd")</f>
        <v>Thu</v>
      </c>
      <c r="F1054" s="1" t="str">
        <f>TEXT(Table1[[#This Row],[Date]],"mmm")</f>
        <v>Aug</v>
      </c>
      <c r="G1054" s="7">
        <v>7952</v>
      </c>
      <c r="H1054">
        <v>235</v>
      </c>
    </row>
    <row r="1055" spans="1:8" x14ac:dyDescent="0.25">
      <c r="A1055" t="s">
        <v>41</v>
      </c>
      <c r="B1055" t="s">
        <v>26</v>
      </c>
      <c r="C1055" t="s">
        <v>11</v>
      </c>
      <c r="D1055" s="2">
        <v>44734</v>
      </c>
      <c r="E1055" s="1" t="str">
        <f>TEXT(Table1[[#This Row],[Date]],"ddd")</f>
        <v>Wed</v>
      </c>
      <c r="F1055" s="1" t="str">
        <f>TEXT(Table1[[#This Row],[Date]],"mmm")</f>
        <v>Jun</v>
      </c>
      <c r="G1055" s="7">
        <v>483</v>
      </c>
      <c r="H1055">
        <v>259</v>
      </c>
    </row>
    <row r="1056" spans="1:8" x14ac:dyDescent="0.25">
      <c r="A1056" t="s">
        <v>50</v>
      </c>
      <c r="B1056" t="s">
        <v>7</v>
      </c>
      <c r="C1056" t="s">
        <v>13</v>
      </c>
      <c r="D1056" s="2">
        <v>44761</v>
      </c>
      <c r="E1056" s="1" t="str">
        <f>TEXT(Table1[[#This Row],[Date]],"ddd")</f>
        <v>Tue</v>
      </c>
      <c r="F1056" s="1" t="str">
        <f>TEXT(Table1[[#This Row],[Date]],"mmm")</f>
        <v>Jul</v>
      </c>
      <c r="G1056" s="7">
        <v>4872</v>
      </c>
      <c r="H1056">
        <v>126</v>
      </c>
    </row>
    <row r="1057" spans="1:8" x14ac:dyDescent="0.25">
      <c r="A1057" t="s">
        <v>53</v>
      </c>
      <c r="B1057" t="s">
        <v>7</v>
      </c>
      <c r="C1057" t="s">
        <v>13</v>
      </c>
      <c r="D1057" s="2">
        <v>44785</v>
      </c>
      <c r="E1057" s="1" t="str">
        <f>TEXT(Table1[[#This Row],[Date]],"ddd")</f>
        <v>Fri</v>
      </c>
      <c r="F1057" s="1" t="str">
        <f>TEXT(Table1[[#This Row],[Date]],"mmm")</f>
        <v>Aug</v>
      </c>
      <c r="G1057" s="7">
        <v>7756</v>
      </c>
      <c r="H1057">
        <v>85</v>
      </c>
    </row>
    <row r="1058" spans="1:8" x14ac:dyDescent="0.25">
      <c r="A1058" t="s">
        <v>53</v>
      </c>
      <c r="B1058" t="s">
        <v>26</v>
      </c>
      <c r="C1058" t="s">
        <v>52</v>
      </c>
      <c r="D1058" s="2">
        <v>44719</v>
      </c>
      <c r="E1058" s="1" t="str">
        <f>TEXT(Table1[[#This Row],[Date]],"ddd")</f>
        <v>Tue</v>
      </c>
      <c r="F1058" s="1" t="str">
        <f>TEXT(Table1[[#This Row],[Date]],"mmm")</f>
        <v>Jun</v>
      </c>
      <c r="G1058" s="7">
        <v>5446</v>
      </c>
      <c r="H1058">
        <v>132</v>
      </c>
    </row>
    <row r="1059" spans="1:8" x14ac:dyDescent="0.25">
      <c r="A1059" t="s">
        <v>33</v>
      </c>
      <c r="B1059" t="s">
        <v>29</v>
      </c>
      <c r="C1059" t="s">
        <v>13</v>
      </c>
      <c r="D1059" s="2">
        <v>44628</v>
      </c>
      <c r="E1059" s="1" t="str">
        <f>TEXT(Table1[[#This Row],[Date]],"ddd")</f>
        <v>Tue</v>
      </c>
      <c r="F1059" s="1" t="str">
        <f>TEXT(Table1[[#This Row],[Date]],"mmm")</f>
        <v>Mar</v>
      </c>
      <c r="G1059" s="7">
        <v>6594</v>
      </c>
      <c r="H1059">
        <v>91</v>
      </c>
    </row>
    <row r="1060" spans="1:8" x14ac:dyDescent="0.25">
      <c r="A1060" t="s">
        <v>55</v>
      </c>
      <c r="B1060" t="s">
        <v>15</v>
      </c>
      <c r="C1060" t="s">
        <v>52</v>
      </c>
      <c r="D1060" s="2">
        <v>44659</v>
      </c>
      <c r="E1060" s="1" t="str">
        <f>TEXT(Table1[[#This Row],[Date]],"ddd")</f>
        <v>Fri</v>
      </c>
      <c r="F1060" s="1" t="str">
        <f>TEXT(Table1[[#This Row],[Date]],"mmm")</f>
        <v>Apr</v>
      </c>
      <c r="G1060" s="7">
        <v>1470</v>
      </c>
      <c r="H1060">
        <v>167</v>
      </c>
    </row>
    <row r="1061" spans="1:8" x14ac:dyDescent="0.25">
      <c r="A1061" t="s">
        <v>38</v>
      </c>
      <c r="B1061" t="s">
        <v>29</v>
      </c>
      <c r="C1061" t="s">
        <v>30</v>
      </c>
      <c r="D1061" s="2">
        <v>44687</v>
      </c>
      <c r="E1061" s="1" t="str">
        <f>TEXT(Table1[[#This Row],[Date]],"ddd")</f>
        <v>Fri</v>
      </c>
      <c r="F1061" s="1" t="str">
        <f>TEXT(Table1[[#This Row],[Date]],"mmm")</f>
        <v>May</v>
      </c>
      <c r="G1061" s="7">
        <v>721</v>
      </c>
      <c r="H1061">
        <v>203</v>
      </c>
    </row>
    <row r="1062" spans="1:8" x14ac:dyDescent="0.25">
      <c r="A1062" t="s">
        <v>36</v>
      </c>
      <c r="B1062" t="s">
        <v>10</v>
      </c>
      <c r="C1062" t="s">
        <v>32</v>
      </c>
      <c r="D1062" s="2">
        <v>44712</v>
      </c>
      <c r="E1062" s="1" t="str">
        <f>TEXT(Table1[[#This Row],[Date]],"ddd")</f>
        <v>Tue</v>
      </c>
      <c r="F1062" s="1" t="str">
        <f>TEXT(Table1[[#This Row],[Date]],"mmm")</f>
        <v>May</v>
      </c>
      <c r="G1062" s="7">
        <v>4494</v>
      </c>
      <c r="H1062">
        <v>11</v>
      </c>
    </row>
    <row r="1063" spans="1:8" x14ac:dyDescent="0.25">
      <c r="A1063" t="s">
        <v>9</v>
      </c>
      <c r="B1063" t="s">
        <v>15</v>
      </c>
      <c r="C1063" t="s">
        <v>8</v>
      </c>
      <c r="D1063" s="2">
        <v>44574</v>
      </c>
      <c r="E1063" s="1" t="str">
        <f>TEXT(Table1[[#This Row],[Date]],"ddd")</f>
        <v>Thu</v>
      </c>
      <c r="F1063" s="1" t="str">
        <f>TEXT(Table1[[#This Row],[Date]],"mmm")</f>
        <v>Jan</v>
      </c>
      <c r="G1063" s="7">
        <v>2674</v>
      </c>
      <c r="H1063">
        <v>295</v>
      </c>
    </row>
    <row r="1064" spans="1:8" x14ac:dyDescent="0.25">
      <c r="A1064" t="s">
        <v>43</v>
      </c>
      <c r="B1064" t="s">
        <v>26</v>
      </c>
      <c r="C1064" t="s">
        <v>58</v>
      </c>
      <c r="D1064" s="2">
        <v>44635</v>
      </c>
      <c r="E1064" s="1" t="str">
        <f>TEXT(Table1[[#This Row],[Date]],"ddd")</f>
        <v>Tue</v>
      </c>
      <c r="F1064" s="1" t="str">
        <f>TEXT(Table1[[#This Row],[Date]],"mmm")</f>
        <v>Mar</v>
      </c>
      <c r="G1064" s="7">
        <v>658</v>
      </c>
      <c r="H1064">
        <v>77</v>
      </c>
    </row>
    <row r="1065" spans="1:8" x14ac:dyDescent="0.25">
      <c r="A1065" t="s">
        <v>48</v>
      </c>
      <c r="B1065" t="s">
        <v>29</v>
      </c>
      <c r="C1065" t="s">
        <v>13</v>
      </c>
      <c r="D1065" s="2">
        <v>44608</v>
      </c>
      <c r="E1065" s="1" t="str">
        <f>TEXT(Table1[[#This Row],[Date]],"ddd")</f>
        <v>Wed</v>
      </c>
      <c r="F1065" s="1" t="str">
        <f>TEXT(Table1[[#This Row],[Date]],"mmm")</f>
        <v>Feb</v>
      </c>
      <c r="G1065" s="7">
        <v>1127</v>
      </c>
      <c r="H1065">
        <v>319</v>
      </c>
    </row>
    <row r="1066" spans="1:8" x14ac:dyDescent="0.25">
      <c r="A1066" t="s">
        <v>12</v>
      </c>
      <c r="B1066" t="s">
        <v>26</v>
      </c>
      <c r="C1066" t="s">
        <v>58</v>
      </c>
      <c r="D1066" s="2">
        <v>44575</v>
      </c>
      <c r="E1066" s="1" t="str">
        <f>TEXT(Table1[[#This Row],[Date]],"ddd")</f>
        <v>Fri</v>
      </c>
      <c r="F1066" s="1" t="str">
        <f>TEXT(Table1[[#This Row],[Date]],"mmm")</f>
        <v>Jan</v>
      </c>
      <c r="G1066" s="7">
        <v>7364</v>
      </c>
      <c r="H1066">
        <v>196</v>
      </c>
    </row>
    <row r="1067" spans="1:8" x14ac:dyDescent="0.25">
      <c r="A1067" t="s">
        <v>24</v>
      </c>
      <c r="B1067" t="s">
        <v>15</v>
      </c>
      <c r="C1067" t="s">
        <v>44</v>
      </c>
      <c r="D1067" s="2">
        <v>44641</v>
      </c>
      <c r="E1067" s="1" t="str">
        <f>TEXT(Table1[[#This Row],[Date]],"ddd")</f>
        <v>Mon</v>
      </c>
      <c r="F1067" s="1" t="str">
        <f>TEXT(Table1[[#This Row],[Date]],"mmm")</f>
        <v>Mar</v>
      </c>
      <c r="G1067" s="7">
        <v>6818</v>
      </c>
      <c r="H1067">
        <v>102</v>
      </c>
    </row>
    <row r="1068" spans="1:8" x14ac:dyDescent="0.25">
      <c r="A1068" t="s">
        <v>36</v>
      </c>
      <c r="B1068" t="s">
        <v>29</v>
      </c>
      <c r="C1068" t="s">
        <v>32</v>
      </c>
      <c r="D1068" s="2">
        <v>44698</v>
      </c>
      <c r="E1068" s="1" t="str">
        <f>TEXT(Table1[[#This Row],[Date]],"ddd")</f>
        <v>Tue</v>
      </c>
      <c r="F1068" s="1" t="str">
        <f>TEXT(Table1[[#This Row],[Date]],"mmm")</f>
        <v>May</v>
      </c>
      <c r="G1068" s="7">
        <v>6776</v>
      </c>
      <c r="H1068">
        <v>312</v>
      </c>
    </row>
    <row r="1069" spans="1:8" x14ac:dyDescent="0.25">
      <c r="A1069" t="s">
        <v>50</v>
      </c>
      <c r="B1069" t="s">
        <v>21</v>
      </c>
      <c r="C1069" t="s">
        <v>11</v>
      </c>
      <c r="D1069" s="2">
        <v>44781</v>
      </c>
      <c r="E1069" s="1" t="str">
        <f>TEXT(Table1[[#This Row],[Date]],"ddd")</f>
        <v>Mon</v>
      </c>
      <c r="F1069" s="1" t="str">
        <f>TEXT(Table1[[#This Row],[Date]],"mmm")</f>
        <v>Aug</v>
      </c>
      <c r="G1069" s="7">
        <v>15099</v>
      </c>
      <c r="H1069">
        <v>55</v>
      </c>
    </row>
    <row r="1070" spans="1:8" x14ac:dyDescent="0.25">
      <c r="A1070" t="s">
        <v>53</v>
      </c>
      <c r="B1070" t="s">
        <v>29</v>
      </c>
      <c r="C1070" t="s">
        <v>37</v>
      </c>
      <c r="D1070" s="2">
        <v>44677</v>
      </c>
      <c r="E1070" s="1" t="str">
        <f>TEXT(Table1[[#This Row],[Date]],"ddd")</f>
        <v>Tue</v>
      </c>
      <c r="F1070" s="1" t="str">
        <f>TEXT(Table1[[#This Row],[Date]],"mmm")</f>
        <v>Apr</v>
      </c>
      <c r="G1070" s="7">
        <v>3612</v>
      </c>
      <c r="H1070">
        <v>82</v>
      </c>
    </row>
    <row r="1071" spans="1:8" x14ac:dyDescent="0.25">
      <c r="A1071" t="s">
        <v>53</v>
      </c>
      <c r="B1071" t="s">
        <v>15</v>
      </c>
      <c r="C1071" t="s">
        <v>58</v>
      </c>
      <c r="D1071" s="2">
        <v>44666</v>
      </c>
      <c r="E1071" s="1" t="str">
        <f>TEXT(Table1[[#This Row],[Date]],"ddd")</f>
        <v>Fri</v>
      </c>
      <c r="F1071" s="1" t="str">
        <f>TEXT(Table1[[#This Row],[Date]],"mmm")</f>
        <v>Apr</v>
      </c>
      <c r="G1071" s="7">
        <v>3710</v>
      </c>
      <c r="H1071">
        <v>260</v>
      </c>
    </row>
    <row r="1072" spans="1:8" x14ac:dyDescent="0.25">
      <c r="A1072" t="s">
        <v>17</v>
      </c>
      <c r="B1072" t="s">
        <v>29</v>
      </c>
      <c r="C1072" t="s">
        <v>30</v>
      </c>
      <c r="D1072" s="2">
        <v>44700</v>
      </c>
      <c r="E1072" s="1" t="str">
        <f>TEXT(Table1[[#This Row],[Date]],"ddd")</f>
        <v>Thu</v>
      </c>
      <c r="F1072" s="1" t="str">
        <f>TEXT(Table1[[#This Row],[Date]],"mmm")</f>
        <v>May</v>
      </c>
      <c r="G1072" s="7">
        <v>6111</v>
      </c>
      <c r="H1072">
        <v>591</v>
      </c>
    </row>
    <row r="1073" spans="1:8" x14ac:dyDescent="0.25">
      <c r="A1073" t="s">
        <v>43</v>
      </c>
      <c r="B1073" t="s">
        <v>29</v>
      </c>
      <c r="C1073" t="s">
        <v>32</v>
      </c>
      <c r="D1073" s="2">
        <v>44571</v>
      </c>
      <c r="E1073" s="1" t="str">
        <f>TEXT(Table1[[#This Row],[Date]],"ddd")</f>
        <v>Mon</v>
      </c>
      <c r="F1073" s="1" t="str">
        <f>TEXT(Table1[[#This Row],[Date]],"mmm")</f>
        <v>Jan</v>
      </c>
      <c r="G1073" s="7">
        <v>2702</v>
      </c>
      <c r="H1073">
        <v>24</v>
      </c>
    </row>
    <row r="1074" spans="1:8" x14ac:dyDescent="0.25">
      <c r="A1074" t="s">
        <v>28</v>
      </c>
      <c r="B1074" t="s">
        <v>21</v>
      </c>
      <c r="C1074" t="s">
        <v>20</v>
      </c>
      <c r="D1074" s="2">
        <v>44685</v>
      </c>
      <c r="E1074" s="1" t="str">
        <f>TEXT(Table1[[#This Row],[Date]],"ddd")</f>
        <v>Wed</v>
      </c>
      <c r="F1074" s="1" t="str">
        <f>TEXT(Table1[[#This Row],[Date]],"mmm")</f>
        <v>May</v>
      </c>
      <c r="G1074" s="7">
        <v>483</v>
      </c>
      <c r="H1074">
        <v>228</v>
      </c>
    </row>
    <row r="1075" spans="1:8" x14ac:dyDescent="0.25">
      <c r="A1075" t="s">
        <v>36</v>
      </c>
      <c r="B1075" t="s">
        <v>29</v>
      </c>
      <c r="C1075" t="s">
        <v>44</v>
      </c>
      <c r="D1075" s="2">
        <v>44656</v>
      </c>
      <c r="E1075" s="1" t="str">
        <f>TEXT(Table1[[#This Row],[Date]],"ddd")</f>
        <v>Tue</v>
      </c>
      <c r="F1075" s="1" t="str">
        <f>TEXT(Table1[[#This Row],[Date]],"mmm")</f>
        <v>Apr</v>
      </c>
      <c r="G1075" s="7">
        <v>5887</v>
      </c>
      <c r="H1075">
        <v>268</v>
      </c>
    </row>
    <row r="1076" spans="1:8" x14ac:dyDescent="0.25">
      <c r="A1076" t="s">
        <v>48</v>
      </c>
      <c r="B1076" t="s">
        <v>10</v>
      </c>
      <c r="C1076" t="s">
        <v>20</v>
      </c>
      <c r="D1076" s="2">
        <v>44578</v>
      </c>
      <c r="E1076" s="1" t="str">
        <f>TEXT(Table1[[#This Row],[Date]],"ddd")</f>
        <v>Mon</v>
      </c>
      <c r="F1076" s="1" t="str">
        <f>TEXT(Table1[[#This Row],[Date]],"mmm")</f>
        <v>Jan</v>
      </c>
      <c r="G1076" s="7">
        <v>952</v>
      </c>
      <c r="H1076">
        <v>68</v>
      </c>
    </row>
    <row r="1077" spans="1:8" x14ac:dyDescent="0.25">
      <c r="A1077" t="s">
        <v>36</v>
      </c>
      <c r="B1077" t="s">
        <v>10</v>
      </c>
      <c r="C1077" t="s">
        <v>39</v>
      </c>
      <c r="D1077" s="2">
        <v>44642</v>
      </c>
      <c r="E1077" s="1" t="str">
        <f>TEXT(Table1[[#This Row],[Date]],"ddd")</f>
        <v>Tue</v>
      </c>
      <c r="F1077" s="1" t="str">
        <f>TEXT(Table1[[#This Row],[Date]],"mmm")</f>
        <v>Mar</v>
      </c>
      <c r="G1077" s="7">
        <v>10647</v>
      </c>
      <c r="H1077">
        <v>173</v>
      </c>
    </row>
    <row r="1078" spans="1:8" x14ac:dyDescent="0.25">
      <c r="A1078" t="s">
        <v>54</v>
      </c>
      <c r="B1078" t="s">
        <v>15</v>
      </c>
      <c r="C1078" t="s">
        <v>44</v>
      </c>
      <c r="D1078" s="2">
        <v>44747</v>
      </c>
      <c r="E1078" s="1" t="str">
        <f>TEXT(Table1[[#This Row],[Date]],"ddd")</f>
        <v>Tue</v>
      </c>
      <c r="F1078" s="1" t="str">
        <f>TEXT(Table1[[#This Row],[Date]],"mmm")</f>
        <v>Jul</v>
      </c>
      <c r="G1078" s="7">
        <v>6055</v>
      </c>
      <c r="H1078">
        <v>93</v>
      </c>
    </row>
    <row r="1079" spans="1:8" x14ac:dyDescent="0.25">
      <c r="A1079" t="s">
        <v>17</v>
      </c>
      <c r="B1079" t="s">
        <v>29</v>
      </c>
      <c r="C1079" t="s">
        <v>27</v>
      </c>
      <c r="D1079" s="2">
        <v>44678</v>
      </c>
      <c r="E1079" s="1" t="str">
        <f>TEXT(Table1[[#This Row],[Date]],"ddd")</f>
        <v>Wed</v>
      </c>
      <c r="F1079" s="1" t="str">
        <f>TEXT(Table1[[#This Row],[Date]],"mmm")</f>
        <v>Apr</v>
      </c>
      <c r="G1079" s="7">
        <v>8757</v>
      </c>
      <c r="H1079">
        <v>338</v>
      </c>
    </row>
    <row r="1080" spans="1:8" x14ac:dyDescent="0.25">
      <c r="A1080" t="s">
        <v>41</v>
      </c>
      <c r="B1080" t="s">
        <v>29</v>
      </c>
      <c r="C1080" t="s">
        <v>47</v>
      </c>
      <c r="D1080" s="2">
        <v>44785</v>
      </c>
      <c r="E1080" s="1" t="str">
        <f>TEXT(Table1[[#This Row],[Date]],"ddd")</f>
        <v>Fri</v>
      </c>
      <c r="F1080" s="1" t="str">
        <f>TEXT(Table1[[#This Row],[Date]],"mmm")</f>
        <v>Aug</v>
      </c>
      <c r="G1080" s="7">
        <v>6055</v>
      </c>
      <c r="H1080">
        <v>73</v>
      </c>
    </row>
    <row r="1081" spans="1:8" x14ac:dyDescent="0.25">
      <c r="A1081" t="s">
        <v>14</v>
      </c>
      <c r="B1081" t="s">
        <v>7</v>
      </c>
      <c r="C1081" t="s">
        <v>56</v>
      </c>
      <c r="D1081" s="2">
        <v>44631</v>
      </c>
      <c r="E1081" s="1" t="str">
        <f>TEXT(Table1[[#This Row],[Date]],"ddd")</f>
        <v>Fri</v>
      </c>
      <c r="F1081" s="1" t="str">
        <f>TEXT(Table1[[#This Row],[Date]],"mmm")</f>
        <v>Mar</v>
      </c>
      <c r="G1081" s="7">
        <v>721</v>
      </c>
      <c r="H1081">
        <v>251</v>
      </c>
    </row>
    <row r="1082" spans="1:8" x14ac:dyDescent="0.25">
      <c r="A1082" t="s">
        <v>6</v>
      </c>
      <c r="B1082" t="s">
        <v>7</v>
      </c>
      <c r="C1082" t="s">
        <v>42</v>
      </c>
      <c r="D1082" s="2">
        <v>44694</v>
      </c>
      <c r="E1082" s="1" t="str">
        <f>TEXT(Table1[[#This Row],[Date]],"ddd")</f>
        <v>Fri</v>
      </c>
      <c r="F1082" s="1" t="str">
        <f>TEXT(Table1[[#This Row],[Date]],"mmm")</f>
        <v>May</v>
      </c>
      <c r="G1082" s="7">
        <v>8589</v>
      </c>
      <c r="H1082">
        <v>229</v>
      </c>
    </row>
    <row r="1083" spans="1:8" x14ac:dyDescent="0.25">
      <c r="A1083" t="s">
        <v>43</v>
      </c>
      <c r="B1083" t="s">
        <v>26</v>
      </c>
      <c r="C1083" t="s">
        <v>16</v>
      </c>
      <c r="D1083" s="2">
        <v>44693</v>
      </c>
      <c r="E1083" s="1" t="str">
        <f>TEXT(Table1[[#This Row],[Date]],"ddd")</f>
        <v>Thu</v>
      </c>
      <c r="F1083" s="1" t="str">
        <f>TEXT(Table1[[#This Row],[Date]],"mmm")</f>
        <v>May</v>
      </c>
      <c r="G1083" s="7">
        <v>11781</v>
      </c>
      <c r="H1083">
        <v>91</v>
      </c>
    </row>
    <row r="1084" spans="1:8" x14ac:dyDescent="0.25">
      <c r="A1084" t="s">
        <v>23</v>
      </c>
      <c r="B1084" t="s">
        <v>26</v>
      </c>
      <c r="C1084" t="s">
        <v>51</v>
      </c>
      <c r="D1084" s="2">
        <v>44573</v>
      </c>
      <c r="E1084" s="1" t="str">
        <f>TEXT(Table1[[#This Row],[Date]],"ddd")</f>
        <v>Wed</v>
      </c>
      <c r="F1084" s="1" t="str">
        <f>TEXT(Table1[[#This Row],[Date]],"mmm")</f>
        <v>Jan</v>
      </c>
      <c r="G1084" s="7">
        <v>672</v>
      </c>
      <c r="H1084">
        <v>194</v>
      </c>
    </row>
    <row r="1085" spans="1:8" x14ac:dyDescent="0.25">
      <c r="A1085" t="s">
        <v>53</v>
      </c>
      <c r="B1085" t="s">
        <v>21</v>
      </c>
      <c r="C1085" t="s">
        <v>37</v>
      </c>
      <c r="D1085" s="2">
        <v>44649</v>
      </c>
      <c r="E1085" s="1" t="str">
        <f>TEXT(Table1[[#This Row],[Date]],"ddd")</f>
        <v>Tue</v>
      </c>
      <c r="F1085" s="1" t="str">
        <f>TEXT(Table1[[#This Row],[Date]],"mmm")</f>
        <v>Mar</v>
      </c>
      <c r="G1085" s="7">
        <v>12558</v>
      </c>
      <c r="H1085">
        <v>403</v>
      </c>
    </row>
    <row r="1086" spans="1:8" x14ac:dyDescent="0.25">
      <c r="A1086" t="s">
        <v>36</v>
      </c>
      <c r="B1086" t="s">
        <v>10</v>
      </c>
      <c r="C1086" t="s">
        <v>22</v>
      </c>
      <c r="D1086" s="2">
        <v>44634</v>
      </c>
      <c r="E1086" s="1" t="str">
        <f>TEXT(Table1[[#This Row],[Date]],"ddd")</f>
        <v>Mon</v>
      </c>
      <c r="F1086" s="1" t="str">
        <f>TEXT(Table1[[#This Row],[Date]],"mmm")</f>
        <v>Mar</v>
      </c>
      <c r="G1086" s="7">
        <v>8337</v>
      </c>
      <c r="H1086">
        <v>12</v>
      </c>
    </row>
    <row r="1087" spans="1:8" x14ac:dyDescent="0.25">
      <c r="A1087" t="s">
        <v>25</v>
      </c>
      <c r="B1087" t="s">
        <v>21</v>
      </c>
      <c r="C1087" t="s">
        <v>18</v>
      </c>
      <c r="D1087" s="2">
        <v>44705</v>
      </c>
      <c r="E1087" s="1" t="str">
        <f>TEXT(Table1[[#This Row],[Date]],"ddd")</f>
        <v>Tue</v>
      </c>
      <c r="F1087" s="1" t="str">
        <f>TEXT(Table1[[#This Row],[Date]],"mmm")</f>
        <v>May</v>
      </c>
      <c r="G1087" s="7">
        <v>8134</v>
      </c>
      <c r="H1087">
        <v>195</v>
      </c>
    </row>
    <row r="1088" spans="1:8" x14ac:dyDescent="0.25">
      <c r="A1088" t="s">
        <v>43</v>
      </c>
      <c r="B1088" t="s">
        <v>29</v>
      </c>
      <c r="C1088" t="s">
        <v>35</v>
      </c>
      <c r="D1088" s="2">
        <v>44589</v>
      </c>
      <c r="E1088" s="1" t="str">
        <f>TEXT(Table1[[#This Row],[Date]],"ddd")</f>
        <v>Fri</v>
      </c>
      <c r="F1088" s="1" t="str">
        <f>TEXT(Table1[[#This Row],[Date]],"mmm")</f>
        <v>Jan</v>
      </c>
      <c r="G1088" s="7">
        <v>8491</v>
      </c>
      <c r="H1088">
        <v>75</v>
      </c>
    </row>
    <row r="1089" spans="1:8" x14ac:dyDescent="0.25">
      <c r="A1089" t="s">
        <v>34</v>
      </c>
      <c r="B1089" t="s">
        <v>10</v>
      </c>
      <c r="C1089" t="s">
        <v>47</v>
      </c>
      <c r="D1089" s="2">
        <v>44705</v>
      </c>
      <c r="E1089" s="1" t="str">
        <f>TEXT(Table1[[#This Row],[Date]],"ddd")</f>
        <v>Tue</v>
      </c>
      <c r="F1089" s="1" t="str">
        <f>TEXT(Table1[[#This Row],[Date]],"mmm")</f>
        <v>May</v>
      </c>
      <c r="G1089" s="7">
        <v>3066</v>
      </c>
      <c r="H1089">
        <v>96</v>
      </c>
    </row>
    <row r="1090" spans="1:8" x14ac:dyDescent="0.25">
      <c r="A1090" t="s">
        <v>23</v>
      </c>
      <c r="B1090" t="s">
        <v>15</v>
      </c>
      <c r="C1090" t="s">
        <v>13</v>
      </c>
      <c r="D1090" s="2">
        <v>44792</v>
      </c>
      <c r="E1090" s="1" t="str">
        <f>TEXT(Table1[[#This Row],[Date]],"ddd")</f>
        <v>Fri</v>
      </c>
      <c r="F1090" s="1" t="str">
        <f>TEXT(Table1[[#This Row],[Date]],"mmm")</f>
        <v>Aug</v>
      </c>
      <c r="G1090" s="7">
        <v>301</v>
      </c>
      <c r="H1090">
        <v>205</v>
      </c>
    </row>
    <row r="1091" spans="1:8" x14ac:dyDescent="0.25">
      <c r="A1091" t="s">
        <v>31</v>
      </c>
      <c r="B1091" t="s">
        <v>15</v>
      </c>
      <c r="C1091" t="s">
        <v>39</v>
      </c>
      <c r="D1091" s="2">
        <v>44698</v>
      </c>
      <c r="E1091" s="1" t="str">
        <f>TEXT(Table1[[#This Row],[Date]],"ddd")</f>
        <v>Tue</v>
      </c>
      <c r="F1091" s="1" t="str">
        <f>TEXT(Table1[[#This Row],[Date]],"mmm")</f>
        <v>May</v>
      </c>
      <c r="G1091" s="7">
        <v>4410</v>
      </c>
      <c r="H1091">
        <v>323</v>
      </c>
    </row>
    <row r="1092" spans="1:8" x14ac:dyDescent="0.25">
      <c r="A1092" t="s">
        <v>6</v>
      </c>
      <c r="B1092" t="s">
        <v>26</v>
      </c>
      <c r="C1092" t="s">
        <v>44</v>
      </c>
      <c r="D1092" s="2">
        <v>44719</v>
      </c>
      <c r="E1092" s="1" t="str">
        <f>TEXT(Table1[[#This Row],[Date]],"ddd")</f>
        <v>Tue</v>
      </c>
      <c r="F1092" s="1" t="str">
        <f>TEXT(Table1[[#This Row],[Date]],"mmm")</f>
        <v>Jun</v>
      </c>
      <c r="G1092" s="7">
        <v>6559</v>
      </c>
      <c r="H1092">
        <v>119</v>
      </c>
    </row>
    <row r="1093" spans="1:8" x14ac:dyDescent="0.25">
      <c r="A1093" t="s">
        <v>55</v>
      </c>
      <c r="B1093" t="s">
        <v>29</v>
      </c>
      <c r="C1093" t="s">
        <v>35</v>
      </c>
      <c r="D1093" s="2">
        <v>44768</v>
      </c>
      <c r="E1093" s="1" t="str">
        <f>TEXT(Table1[[#This Row],[Date]],"ddd")</f>
        <v>Tue</v>
      </c>
      <c r="F1093" s="1" t="str">
        <f>TEXT(Table1[[#This Row],[Date]],"mmm")</f>
        <v>Jul</v>
      </c>
      <c r="G1093" s="7">
        <v>574</v>
      </c>
      <c r="H1093">
        <v>217</v>
      </c>
    </row>
    <row r="1094" spans="1:8" x14ac:dyDescent="0.25">
      <c r="A1094" t="s">
        <v>54</v>
      </c>
      <c r="B1094" t="s">
        <v>10</v>
      </c>
      <c r="C1094" t="s">
        <v>30</v>
      </c>
      <c r="D1094" s="2">
        <v>44770</v>
      </c>
      <c r="E1094" s="1" t="str">
        <f>TEXT(Table1[[#This Row],[Date]],"ddd")</f>
        <v>Thu</v>
      </c>
      <c r="F1094" s="1" t="str">
        <f>TEXT(Table1[[#This Row],[Date]],"mmm")</f>
        <v>Jul</v>
      </c>
      <c r="G1094" s="7">
        <v>2086</v>
      </c>
      <c r="H1094">
        <v>384</v>
      </c>
    </row>
    <row r="1095" spans="1:8" x14ac:dyDescent="0.25">
      <c r="A1095" t="s">
        <v>31</v>
      </c>
      <c r="B1095" t="s">
        <v>10</v>
      </c>
      <c r="C1095" t="s">
        <v>58</v>
      </c>
      <c r="D1095" s="2">
        <v>44704</v>
      </c>
      <c r="E1095" s="1" t="str">
        <f>TEXT(Table1[[#This Row],[Date]],"ddd")</f>
        <v>Mon</v>
      </c>
      <c r="F1095" s="1" t="str">
        <f>TEXT(Table1[[#This Row],[Date]],"mmm")</f>
        <v>May</v>
      </c>
      <c r="G1095" s="7">
        <v>5075</v>
      </c>
      <c r="H1095">
        <v>344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A8D08-E1B3-45EC-A302-38D58471A83E}">
  <sheetPr codeName="Sheet2"/>
  <dimension ref="A2:AA28"/>
  <sheetViews>
    <sheetView topLeftCell="L1" workbookViewId="0">
      <selection activeCell="AA5" sqref="AA5"/>
    </sheetView>
  </sheetViews>
  <sheetFormatPr defaultRowHeight="15" x14ac:dyDescent="0.25"/>
  <cols>
    <col min="1" max="1" width="19.85546875" bestFit="1" customWidth="1"/>
    <col min="2" max="2" width="21.42578125" bestFit="1" customWidth="1"/>
    <col min="3" max="3" width="20.5703125" bestFit="1" customWidth="1"/>
    <col min="4" max="4" width="13.42578125" bestFit="1" customWidth="1"/>
    <col min="5" max="5" width="21.42578125" bestFit="1" customWidth="1"/>
    <col min="6" max="6" width="20.5703125" bestFit="1" customWidth="1"/>
    <col min="7" max="7" width="19.5703125" bestFit="1" customWidth="1"/>
    <col min="8" max="8" width="16.42578125" bestFit="1" customWidth="1"/>
    <col min="9" max="9" width="20.5703125" bestFit="1" customWidth="1"/>
    <col min="10" max="10" width="13.42578125" bestFit="1" customWidth="1"/>
    <col min="11" max="12" width="21.42578125" bestFit="1" customWidth="1"/>
    <col min="13" max="14" width="20.5703125" bestFit="1" customWidth="1"/>
    <col min="15" max="15" width="13.42578125" bestFit="1" customWidth="1"/>
    <col min="16" max="16" width="14.85546875" bestFit="1" customWidth="1"/>
    <col min="17" max="17" width="20.5703125" bestFit="1" customWidth="1"/>
    <col min="18" max="18" width="19.85546875" bestFit="1" customWidth="1"/>
    <col min="19" max="19" width="16.85546875" bestFit="1" customWidth="1"/>
    <col min="20" max="20" width="7.7109375" bestFit="1" customWidth="1"/>
    <col min="21" max="21" width="6" bestFit="1" customWidth="1"/>
    <col min="22" max="22" width="12.42578125" bestFit="1" customWidth="1"/>
    <col min="23" max="24" width="6" bestFit="1" customWidth="1"/>
    <col min="25" max="25" width="11.28515625" bestFit="1" customWidth="1"/>
    <col min="26" max="26" width="14.85546875" bestFit="1" customWidth="1"/>
    <col min="27" max="27" width="21.42578125" bestFit="1" customWidth="1"/>
    <col min="28" max="28" width="6" bestFit="1" customWidth="1"/>
    <col min="29" max="29" width="12.42578125" bestFit="1" customWidth="1"/>
    <col min="30" max="31" width="6" bestFit="1" customWidth="1"/>
    <col min="32" max="32" width="17.5703125" bestFit="1" customWidth="1"/>
    <col min="33" max="33" width="16.28515625" bestFit="1" customWidth="1"/>
    <col min="34" max="34" width="7.7109375" bestFit="1" customWidth="1"/>
    <col min="35" max="35" width="6" bestFit="1" customWidth="1"/>
    <col min="36" max="36" width="12.42578125" bestFit="1" customWidth="1"/>
    <col min="37" max="38" width="6" bestFit="1" customWidth="1"/>
    <col min="39" max="39" width="19.42578125" bestFit="1" customWidth="1"/>
    <col min="40" max="40" width="13" bestFit="1" customWidth="1"/>
    <col min="41" max="41" width="7.7109375" bestFit="1" customWidth="1"/>
    <col min="42" max="42" width="6" bestFit="1" customWidth="1"/>
    <col min="43" max="43" width="12.42578125" bestFit="1" customWidth="1"/>
    <col min="44" max="45" width="6" bestFit="1" customWidth="1"/>
    <col min="46" max="47" width="16.140625" bestFit="1" customWidth="1"/>
    <col min="48" max="48" width="7.7109375" bestFit="1" customWidth="1"/>
    <col min="49" max="49" width="6" bestFit="1" customWidth="1"/>
    <col min="50" max="50" width="12.42578125" bestFit="1" customWidth="1"/>
    <col min="51" max="52" width="6" bestFit="1" customWidth="1"/>
    <col min="53" max="53" width="19.28515625" bestFit="1" customWidth="1"/>
    <col min="54" max="54" width="15" bestFit="1" customWidth="1"/>
    <col min="55" max="55" width="7.7109375" bestFit="1" customWidth="1"/>
    <col min="56" max="56" width="6" bestFit="1" customWidth="1"/>
    <col min="57" max="57" width="12.42578125" bestFit="1" customWidth="1"/>
    <col min="58" max="59" width="6" bestFit="1" customWidth="1"/>
    <col min="60" max="60" width="18.140625" bestFit="1" customWidth="1"/>
    <col min="61" max="61" width="16.140625" bestFit="1" customWidth="1"/>
    <col min="62" max="62" width="7.7109375" bestFit="1" customWidth="1"/>
    <col min="63" max="63" width="6" bestFit="1" customWidth="1"/>
    <col min="64" max="64" width="12.42578125" bestFit="1" customWidth="1"/>
    <col min="65" max="66" width="6" bestFit="1" customWidth="1"/>
    <col min="67" max="67" width="19.28515625" bestFit="1" customWidth="1"/>
    <col min="68" max="68" width="22.42578125" bestFit="1" customWidth="1"/>
    <col min="69" max="69" width="7.7109375" bestFit="1" customWidth="1"/>
    <col min="70" max="70" width="6" bestFit="1" customWidth="1"/>
    <col min="71" max="71" width="12.42578125" bestFit="1" customWidth="1"/>
    <col min="72" max="73" width="6" bestFit="1" customWidth="1"/>
    <col min="74" max="74" width="25.7109375" bestFit="1" customWidth="1"/>
    <col min="75" max="75" width="15.5703125" bestFit="1" customWidth="1"/>
    <col min="76" max="76" width="7.7109375" bestFit="1" customWidth="1"/>
    <col min="77" max="77" width="6" bestFit="1" customWidth="1"/>
    <col min="78" max="78" width="12.42578125" bestFit="1" customWidth="1"/>
    <col min="79" max="80" width="6" bestFit="1" customWidth="1"/>
    <col min="81" max="81" width="18.7109375" bestFit="1" customWidth="1"/>
    <col min="82" max="82" width="13.5703125" bestFit="1" customWidth="1"/>
    <col min="83" max="83" width="7.7109375" bestFit="1" customWidth="1"/>
    <col min="84" max="84" width="6" bestFit="1" customWidth="1"/>
    <col min="85" max="85" width="12.42578125" bestFit="1" customWidth="1"/>
    <col min="86" max="87" width="6" bestFit="1" customWidth="1"/>
    <col min="88" max="88" width="16.7109375" bestFit="1" customWidth="1"/>
    <col min="89" max="89" width="18.5703125" bestFit="1" customWidth="1"/>
    <col min="90" max="90" width="7.7109375" bestFit="1" customWidth="1"/>
    <col min="91" max="91" width="6" bestFit="1" customWidth="1"/>
    <col min="92" max="92" width="12.42578125" bestFit="1" customWidth="1"/>
    <col min="93" max="94" width="6" bestFit="1" customWidth="1"/>
    <col min="95" max="95" width="21.85546875" bestFit="1" customWidth="1"/>
    <col min="96" max="96" width="14.7109375" bestFit="1" customWidth="1"/>
    <col min="97" max="97" width="7.7109375" bestFit="1" customWidth="1"/>
    <col min="98" max="98" width="6" bestFit="1" customWidth="1"/>
    <col min="99" max="99" width="12.42578125" bestFit="1" customWidth="1"/>
    <col min="100" max="101" width="6" bestFit="1" customWidth="1"/>
    <col min="102" max="102" width="18" bestFit="1" customWidth="1"/>
    <col min="103" max="103" width="14" bestFit="1" customWidth="1"/>
    <col min="104" max="104" width="7.7109375" bestFit="1" customWidth="1"/>
    <col min="105" max="105" width="6" bestFit="1" customWidth="1"/>
    <col min="106" max="106" width="12.42578125" bestFit="1" customWidth="1"/>
    <col min="107" max="108" width="6" bestFit="1" customWidth="1"/>
    <col min="109" max="109" width="17.28515625" bestFit="1" customWidth="1"/>
    <col min="110" max="110" width="16.7109375" bestFit="1" customWidth="1"/>
    <col min="111" max="111" width="7.7109375" bestFit="1" customWidth="1"/>
    <col min="112" max="112" width="6" bestFit="1" customWidth="1"/>
    <col min="113" max="113" width="12.42578125" bestFit="1" customWidth="1"/>
    <col min="114" max="115" width="6" bestFit="1" customWidth="1"/>
    <col min="116" max="116" width="19.85546875" bestFit="1" customWidth="1"/>
    <col min="117" max="117" width="13.140625" bestFit="1" customWidth="1"/>
    <col min="118" max="118" width="7.7109375" bestFit="1" customWidth="1"/>
    <col min="119" max="119" width="6" bestFit="1" customWidth="1"/>
    <col min="120" max="120" width="12.42578125" bestFit="1" customWidth="1"/>
    <col min="121" max="122" width="6" bestFit="1" customWidth="1"/>
    <col min="123" max="123" width="16.28515625" bestFit="1" customWidth="1"/>
    <col min="124" max="124" width="18.42578125" bestFit="1" customWidth="1"/>
    <col min="125" max="125" width="7.7109375" bestFit="1" customWidth="1"/>
    <col min="126" max="126" width="6" bestFit="1" customWidth="1"/>
    <col min="127" max="127" width="12.42578125" bestFit="1" customWidth="1"/>
    <col min="128" max="129" width="6" bestFit="1" customWidth="1"/>
    <col min="130" max="130" width="21.7109375" bestFit="1" customWidth="1"/>
    <col min="131" max="131" width="15.7109375" bestFit="1" customWidth="1"/>
    <col min="132" max="132" width="7.7109375" bestFit="1" customWidth="1"/>
    <col min="133" max="133" width="6" bestFit="1" customWidth="1"/>
    <col min="134" max="134" width="12.42578125" bestFit="1" customWidth="1"/>
    <col min="135" max="136" width="6" bestFit="1" customWidth="1"/>
    <col min="137" max="137" width="18.85546875" bestFit="1" customWidth="1"/>
    <col min="138" max="138" width="18.28515625" bestFit="1" customWidth="1"/>
    <col min="139" max="139" width="7.7109375" bestFit="1" customWidth="1"/>
    <col min="140" max="140" width="6" bestFit="1" customWidth="1"/>
    <col min="141" max="141" width="12.42578125" bestFit="1" customWidth="1"/>
    <col min="142" max="143" width="6" bestFit="1" customWidth="1"/>
    <col min="144" max="144" width="21.5703125" bestFit="1" customWidth="1"/>
    <col min="145" max="145" width="16.5703125" bestFit="1" customWidth="1"/>
    <col min="146" max="146" width="7.7109375" bestFit="1" customWidth="1"/>
    <col min="147" max="147" width="6" bestFit="1" customWidth="1"/>
    <col min="148" max="148" width="12.42578125" bestFit="1" customWidth="1"/>
    <col min="149" max="150" width="6" bestFit="1" customWidth="1"/>
    <col min="151" max="151" width="19.7109375" bestFit="1" customWidth="1"/>
    <col min="152" max="152" width="17.140625" bestFit="1" customWidth="1"/>
    <col min="153" max="153" width="7.7109375" bestFit="1" customWidth="1"/>
    <col min="154" max="154" width="6" bestFit="1" customWidth="1"/>
    <col min="155" max="155" width="12.42578125" bestFit="1" customWidth="1"/>
    <col min="156" max="157" width="6" bestFit="1" customWidth="1"/>
    <col min="158" max="158" width="20.28515625" bestFit="1" customWidth="1"/>
    <col min="159" max="159" width="12.28515625" bestFit="1" customWidth="1"/>
    <col min="160" max="160" width="7.7109375" bestFit="1" customWidth="1"/>
    <col min="161" max="161" width="6" bestFit="1" customWidth="1"/>
    <col min="162" max="162" width="12.42578125" bestFit="1" customWidth="1"/>
    <col min="163" max="164" width="6" bestFit="1" customWidth="1"/>
    <col min="165" max="165" width="15.42578125" bestFit="1" customWidth="1"/>
    <col min="166" max="166" width="20.140625" bestFit="1" customWidth="1"/>
    <col min="167" max="167" width="7.7109375" bestFit="1" customWidth="1"/>
    <col min="168" max="168" width="6" bestFit="1" customWidth="1"/>
    <col min="169" max="169" width="12.42578125" bestFit="1" customWidth="1"/>
    <col min="170" max="171" width="6" bestFit="1" customWidth="1"/>
    <col min="172" max="172" width="23.28515625" bestFit="1" customWidth="1"/>
    <col min="173" max="173" width="18.5703125" bestFit="1" customWidth="1"/>
    <col min="174" max="174" width="7.7109375" bestFit="1" customWidth="1"/>
    <col min="175" max="175" width="6" bestFit="1" customWidth="1"/>
    <col min="176" max="176" width="12.42578125" bestFit="1" customWidth="1"/>
    <col min="177" max="178" width="6" bestFit="1" customWidth="1"/>
    <col min="179" max="179" width="21.85546875" bestFit="1" customWidth="1"/>
    <col min="180" max="180" width="13.42578125" bestFit="1" customWidth="1"/>
    <col min="181" max="181" width="7.7109375" bestFit="1" customWidth="1"/>
    <col min="182" max="182" width="6" bestFit="1" customWidth="1"/>
    <col min="183" max="183" width="12.42578125" bestFit="1" customWidth="1"/>
    <col min="184" max="185" width="6" bestFit="1" customWidth="1"/>
    <col min="186" max="186" width="16.5703125" bestFit="1" customWidth="1"/>
    <col min="187" max="187" width="15.85546875" bestFit="1" customWidth="1"/>
    <col min="188" max="188" width="7.7109375" bestFit="1" customWidth="1"/>
    <col min="189" max="189" width="6" bestFit="1" customWidth="1"/>
    <col min="190" max="190" width="12.42578125" bestFit="1" customWidth="1"/>
    <col min="191" max="191" width="5" bestFit="1" customWidth="1"/>
    <col min="192" max="192" width="6" bestFit="1" customWidth="1"/>
    <col min="193" max="193" width="19" bestFit="1" customWidth="1"/>
    <col min="194" max="194" width="11.28515625" bestFit="1" customWidth="1"/>
  </cols>
  <sheetData>
    <row r="2" spans="1:27" x14ac:dyDescent="0.25">
      <c r="A2" t="s">
        <v>64</v>
      </c>
      <c r="D2" t="s">
        <v>65</v>
      </c>
      <c r="G2" t="s">
        <v>66</v>
      </c>
      <c r="J2" t="s">
        <v>76</v>
      </c>
      <c r="O2" t="s">
        <v>77</v>
      </c>
      <c r="R2" t="s">
        <v>79</v>
      </c>
    </row>
    <row r="3" spans="1:27" x14ac:dyDescent="0.25">
      <c r="A3" s="3" t="s">
        <v>62</v>
      </c>
      <c r="B3" t="s">
        <v>63</v>
      </c>
      <c r="D3" s="3" t="s">
        <v>62</v>
      </c>
      <c r="E3" t="s">
        <v>63</v>
      </c>
      <c r="G3" s="3" t="s">
        <v>62</v>
      </c>
      <c r="H3" t="s">
        <v>67</v>
      </c>
      <c r="J3" s="3" t="s">
        <v>62</v>
      </c>
      <c r="K3" t="s">
        <v>63</v>
      </c>
    </row>
    <row r="4" spans="1:27" x14ac:dyDescent="0.25">
      <c r="A4" s="4" t="s">
        <v>48</v>
      </c>
      <c r="B4" s="5">
        <v>6448</v>
      </c>
      <c r="D4" s="4" t="s">
        <v>15</v>
      </c>
      <c r="E4" s="6">
        <v>0.18443903348455146</v>
      </c>
      <c r="G4" s="4" t="s">
        <v>22</v>
      </c>
      <c r="H4" s="5">
        <v>60</v>
      </c>
      <c r="J4" s="4" t="s">
        <v>68</v>
      </c>
      <c r="K4" s="5">
        <v>27535</v>
      </c>
      <c r="L4" t="str">
        <f>J4</f>
        <v>Jan</v>
      </c>
      <c r="M4">
        <f>K4</f>
        <v>27535</v>
      </c>
      <c r="O4" s="3" t="s">
        <v>62</v>
      </c>
      <c r="P4" t="s">
        <v>78</v>
      </c>
      <c r="R4" s="3" t="s">
        <v>78</v>
      </c>
      <c r="S4" s="3" t="s">
        <v>61</v>
      </c>
      <c r="Z4" t="s">
        <v>78</v>
      </c>
      <c r="AA4" t="s">
        <v>63</v>
      </c>
    </row>
    <row r="5" spans="1:27" x14ac:dyDescent="0.25">
      <c r="A5" s="4" t="s">
        <v>25</v>
      </c>
      <c r="B5" s="5">
        <v>6366</v>
      </c>
      <c r="D5" s="4" t="s">
        <v>29</v>
      </c>
      <c r="E5" s="6">
        <v>0.17638285491534234</v>
      </c>
      <c r="G5" s="4" t="s">
        <v>11</v>
      </c>
      <c r="H5" s="5">
        <v>50</v>
      </c>
      <c r="J5" s="4" t="s">
        <v>69</v>
      </c>
      <c r="K5" s="5">
        <v>18015</v>
      </c>
      <c r="L5" t="str">
        <f t="shared" ref="L5:L11" si="0">J5</f>
        <v>Feb</v>
      </c>
      <c r="M5">
        <f t="shared" ref="M5:M11" si="1">K5</f>
        <v>18015</v>
      </c>
      <c r="O5" s="4" t="s">
        <v>15</v>
      </c>
      <c r="P5" s="5">
        <v>1137367</v>
      </c>
      <c r="R5" s="3" t="s">
        <v>62</v>
      </c>
      <c r="S5" t="s">
        <v>15</v>
      </c>
      <c r="T5" t="s">
        <v>29</v>
      </c>
      <c r="U5" t="s">
        <v>10</v>
      </c>
      <c r="V5" t="s">
        <v>21</v>
      </c>
      <c r="W5" t="s">
        <v>7</v>
      </c>
      <c r="X5" t="s">
        <v>26</v>
      </c>
      <c r="Z5" s="7">
        <v>6183625</v>
      </c>
      <c r="AA5" s="7">
        <v>177007</v>
      </c>
    </row>
    <row r="6" spans="1:27" x14ac:dyDescent="0.25">
      <c r="A6" s="4" t="s">
        <v>34</v>
      </c>
      <c r="B6" s="5">
        <v>9214</v>
      </c>
      <c r="D6" s="4" t="s">
        <v>10</v>
      </c>
      <c r="E6" s="6">
        <v>0.16649059076759676</v>
      </c>
      <c r="G6" s="4" t="s">
        <v>20</v>
      </c>
      <c r="H6" s="5">
        <v>50</v>
      </c>
      <c r="J6" s="4" t="s">
        <v>70</v>
      </c>
      <c r="K6" s="5">
        <v>19561</v>
      </c>
      <c r="L6" t="str">
        <f t="shared" si="0"/>
        <v>Mar</v>
      </c>
      <c r="M6">
        <f t="shared" si="1"/>
        <v>19561</v>
      </c>
      <c r="O6" s="4" t="s">
        <v>29</v>
      </c>
      <c r="P6" s="5">
        <v>962899</v>
      </c>
      <c r="R6" s="4" t="s">
        <v>34</v>
      </c>
      <c r="S6" s="5">
        <v>27426</v>
      </c>
      <c r="T6" s="5">
        <v>71995</v>
      </c>
      <c r="U6" s="5">
        <v>41363</v>
      </c>
      <c r="V6" s="5">
        <v>45150</v>
      </c>
      <c r="W6" s="5">
        <v>39522</v>
      </c>
      <c r="X6" s="5">
        <v>53466</v>
      </c>
    </row>
    <row r="7" spans="1:27" x14ac:dyDescent="0.25">
      <c r="A7" s="4" t="s">
        <v>23</v>
      </c>
      <c r="B7" s="5">
        <v>8102</v>
      </c>
      <c r="D7" s="4" t="s">
        <v>21</v>
      </c>
      <c r="E7" s="6">
        <v>0.15016355285384195</v>
      </c>
      <c r="G7" s="4" t="s">
        <v>32</v>
      </c>
      <c r="H7" s="5">
        <v>56</v>
      </c>
      <c r="J7" s="4" t="s">
        <v>71</v>
      </c>
      <c r="K7" s="5">
        <v>21003</v>
      </c>
      <c r="L7" t="str">
        <f t="shared" si="0"/>
        <v>Apr</v>
      </c>
      <c r="M7">
        <f t="shared" si="1"/>
        <v>21003</v>
      </c>
      <c r="O7" s="4" t="s">
        <v>10</v>
      </c>
      <c r="P7" s="5">
        <v>1045800</v>
      </c>
      <c r="R7" s="4" t="s">
        <v>23</v>
      </c>
      <c r="S7" s="5">
        <v>60417</v>
      </c>
      <c r="T7" s="5">
        <v>60375</v>
      </c>
      <c r="U7" s="5">
        <v>60578</v>
      </c>
      <c r="V7" s="5">
        <v>41685</v>
      </c>
      <c r="W7" s="5">
        <v>31591</v>
      </c>
      <c r="X7" s="5">
        <v>58170</v>
      </c>
    </row>
    <row r="8" spans="1:27" x14ac:dyDescent="0.25">
      <c r="A8" s="4" t="s">
        <v>50</v>
      </c>
      <c r="B8" s="5">
        <v>5374</v>
      </c>
      <c r="D8" s="4" t="s">
        <v>7</v>
      </c>
      <c r="E8" s="6">
        <v>0.17098193856740129</v>
      </c>
      <c r="G8" s="4" t="s">
        <v>30</v>
      </c>
      <c r="H8" s="5">
        <v>60</v>
      </c>
      <c r="J8" s="4" t="s">
        <v>72</v>
      </c>
      <c r="K8" s="5">
        <v>21856</v>
      </c>
      <c r="L8" t="str">
        <f t="shared" si="0"/>
        <v>May</v>
      </c>
      <c r="M8">
        <f t="shared" si="1"/>
        <v>21856</v>
      </c>
      <c r="O8" s="4" t="s">
        <v>21</v>
      </c>
      <c r="P8" s="5">
        <v>950418</v>
      </c>
      <c r="R8" s="4" t="s">
        <v>55</v>
      </c>
      <c r="S8" s="5">
        <v>45871</v>
      </c>
      <c r="T8" s="5">
        <v>40656</v>
      </c>
      <c r="U8" s="5">
        <v>98763</v>
      </c>
      <c r="V8" s="5">
        <v>47600</v>
      </c>
      <c r="W8" s="5">
        <v>51772</v>
      </c>
      <c r="X8" s="5">
        <v>36239</v>
      </c>
    </row>
    <row r="9" spans="1:27" x14ac:dyDescent="0.25">
      <c r="A9" s="4" t="s">
        <v>55</v>
      </c>
      <c r="B9" s="5">
        <v>7522</v>
      </c>
      <c r="D9" s="4" t="s">
        <v>26</v>
      </c>
      <c r="E9" s="6">
        <v>0.15154202941126621</v>
      </c>
      <c r="G9" s="4" t="s">
        <v>42</v>
      </c>
      <c r="H9" s="5">
        <v>50</v>
      </c>
      <c r="J9" s="4" t="s">
        <v>73</v>
      </c>
      <c r="K9" s="5">
        <v>26260</v>
      </c>
      <c r="L9" t="str">
        <f t="shared" si="0"/>
        <v>Jun</v>
      </c>
      <c r="M9">
        <f t="shared" si="1"/>
        <v>26260</v>
      </c>
      <c r="O9" s="4" t="s">
        <v>7</v>
      </c>
      <c r="P9" s="5">
        <v>1051792</v>
      </c>
      <c r="R9" s="4" t="s">
        <v>43</v>
      </c>
      <c r="S9" s="5">
        <v>65275</v>
      </c>
      <c r="T9" s="5">
        <v>38983</v>
      </c>
      <c r="U9" s="5">
        <v>39641</v>
      </c>
      <c r="V9" s="5">
        <v>30058</v>
      </c>
      <c r="W9" s="5">
        <v>48167</v>
      </c>
      <c r="X9" s="5">
        <v>69545</v>
      </c>
    </row>
    <row r="10" spans="1:27" x14ac:dyDescent="0.25">
      <c r="A10" s="4" t="s">
        <v>38</v>
      </c>
      <c r="B10" s="5">
        <v>7074</v>
      </c>
      <c r="G10" s="4" t="s">
        <v>35</v>
      </c>
      <c r="H10" s="5">
        <v>52</v>
      </c>
      <c r="J10" s="4" t="s">
        <v>74</v>
      </c>
      <c r="K10" s="5">
        <v>22876</v>
      </c>
      <c r="L10" t="str">
        <f t="shared" si="0"/>
        <v>Jul</v>
      </c>
      <c r="M10">
        <f t="shared" si="1"/>
        <v>22876</v>
      </c>
      <c r="O10" s="4" t="s">
        <v>26</v>
      </c>
      <c r="P10" s="5">
        <v>1035349</v>
      </c>
      <c r="R10" s="4" t="s">
        <v>41</v>
      </c>
      <c r="S10" s="5">
        <v>58415</v>
      </c>
      <c r="T10" s="5">
        <v>45934</v>
      </c>
      <c r="U10" s="5">
        <v>20692</v>
      </c>
      <c r="V10" s="5">
        <v>27860</v>
      </c>
      <c r="W10" s="5">
        <v>69034</v>
      </c>
      <c r="X10" s="5">
        <v>44555</v>
      </c>
    </row>
    <row r="11" spans="1:27" x14ac:dyDescent="0.25">
      <c r="A11" s="4" t="s">
        <v>43</v>
      </c>
      <c r="B11" s="5">
        <v>8767</v>
      </c>
      <c r="G11" s="4" t="s">
        <v>16</v>
      </c>
      <c r="H11" s="5">
        <v>59</v>
      </c>
      <c r="J11" s="4" t="s">
        <v>75</v>
      </c>
      <c r="K11" s="5">
        <v>19901</v>
      </c>
      <c r="L11" t="str">
        <f t="shared" si="0"/>
        <v>Aug</v>
      </c>
      <c r="M11">
        <f t="shared" si="1"/>
        <v>19901</v>
      </c>
      <c r="R11" s="4" t="s">
        <v>49</v>
      </c>
      <c r="S11" s="5">
        <v>51961</v>
      </c>
      <c r="T11" s="5">
        <v>57078</v>
      </c>
      <c r="U11" s="5">
        <v>48160</v>
      </c>
      <c r="V11" s="5">
        <v>39172</v>
      </c>
      <c r="W11" s="5">
        <v>45983</v>
      </c>
      <c r="X11" s="5">
        <v>69356</v>
      </c>
    </row>
    <row r="12" spans="1:27" x14ac:dyDescent="0.25">
      <c r="A12" s="4" t="s">
        <v>54</v>
      </c>
      <c r="B12" s="5">
        <v>6853</v>
      </c>
      <c r="G12" s="4" t="s">
        <v>39</v>
      </c>
      <c r="H12" s="5">
        <v>54</v>
      </c>
      <c r="R12" s="4" t="s">
        <v>53</v>
      </c>
      <c r="S12" s="5">
        <v>58359</v>
      </c>
      <c r="T12" s="5">
        <v>47866</v>
      </c>
      <c r="U12" s="5">
        <v>16338</v>
      </c>
      <c r="V12" s="5">
        <v>67550</v>
      </c>
      <c r="W12" s="5">
        <v>71330</v>
      </c>
      <c r="X12" s="5">
        <v>54656</v>
      </c>
    </row>
    <row r="13" spans="1:27" x14ac:dyDescent="0.25">
      <c r="A13" s="4" t="s">
        <v>12</v>
      </c>
      <c r="B13" s="5">
        <v>6303</v>
      </c>
      <c r="G13" s="4" t="s">
        <v>44</v>
      </c>
      <c r="H13" s="5">
        <v>58</v>
      </c>
      <c r="R13" s="4" t="s">
        <v>33</v>
      </c>
      <c r="S13" s="5">
        <v>49791</v>
      </c>
      <c r="T13" s="5">
        <v>19292</v>
      </c>
      <c r="U13" s="5">
        <v>34685</v>
      </c>
      <c r="V13" s="5">
        <v>58212</v>
      </c>
      <c r="W13" s="5">
        <v>57169</v>
      </c>
      <c r="X13" s="5">
        <v>40593</v>
      </c>
    </row>
    <row r="14" spans="1:27" x14ac:dyDescent="0.25">
      <c r="A14" s="4" t="s">
        <v>19</v>
      </c>
      <c r="B14" s="5">
        <v>6677</v>
      </c>
      <c r="R14" s="4" t="s">
        <v>17</v>
      </c>
      <c r="S14" s="5">
        <v>37709</v>
      </c>
      <c r="T14" s="5">
        <v>42364</v>
      </c>
      <c r="U14" s="5">
        <v>75579</v>
      </c>
      <c r="V14" s="5">
        <v>54215</v>
      </c>
      <c r="W14" s="5">
        <v>69279</v>
      </c>
      <c r="X14" s="5">
        <v>37499</v>
      </c>
    </row>
    <row r="15" spans="1:27" x14ac:dyDescent="0.25">
      <c r="A15" s="4" t="s">
        <v>40</v>
      </c>
      <c r="B15" s="5">
        <v>5849</v>
      </c>
      <c r="R15" s="4" t="s">
        <v>9</v>
      </c>
      <c r="S15" s="5">
        <v>57050</v>
      </c>
      <c r="T15" s="5">
        <v>51870</v>
      </c>
      <c r="U15" s="5">
        <v>85785</v>
      </c>
      <c r="V15" s="5">
        <v>30394</v>
      </c>
      <c r="W15" s="5">
        <v>45514</v>
      </c>
      <c r="X15" s="5">
        <v>32536</v>
      </c>
    </row>
    <row r="16" spans="1:27" x14ac:dyDescent="0.25">
      <c r="A16" s="4" t="s">
        <v>14</v>
      </c>
      <c r="B16" s="5">
        <v>7661</v>
      </c>
    </row>
    <row r="17" spans="1:2" x14ac:dyDescent="0.25">
      <c r="A17" s="4" t="s">
        <v>6</v>
      </c>
      <c r="B17" s="5">
        <v>7246</v>
      </c>
    </row>
    <row r="18" spans="1:2" x14ac:dyDescent="0.25">
      <c r="A18" s="4" t="s">
        <v>41</v>
      </c>
      <c r="B18" s="5">
        <v>7253</v>
      </c>
    </row>
    <row r="19" spans="1:2" x14ac:dyDescent="0.25">
      <c r="A19" s="4" t="s">
        <v>31</v>
      </c>
      <c r="B19" s="5">
        <v>9658</v>
      </c>
    </row>
    <row r="20" spans="1:2" x14ac:dyDescent="0.25">
      <c r="A20" s="4" t="s">
        <v>49</v>
      </c>
      <c r="B20" s="5">
        <v>8702</v>
      </c>
    </row>
    <row r="21" spans="1:2" x14ac:dyDescent="0.25">
      <c r="A21" s="4" t="s">
        <v>53</v>
      </c>
      <c r="B21" s="5">
        <v>7279</v>
      </c>
    </row>
    <row r="22" spans="1:2" x14ac:dyDescent="0.25">
      <c r="A22" s="4" t="s">
        <v>28</v>
      </c>
      <c r="B22" s="5">
        <v>5980</v>
      </c>
    </row>
    <row r="23" spans="1:2" x14ac:dyDescent="0.25">
      <c r="A23" s="4" t="s">
        <v>33</v>
      </c>
      <c r="B23" s="5">
        <v>8043</v>
      </c>
    </row>
    <row r="24" spans="1:2" x14ac:dyDescent="0.25">
      <c r="A24" s="4" t="s">
        <v>17</v>
      </c>
      <c r="B24" s="5">
        <v>8608</v>
      </c>
    </row>
    <row r="25" spans="1:2" x14ac:dyDescent="0.25">
      <c r="A25" s="4" t="s">
        <v>24</v>
      </c>
      <c r="B25" s="5">
        <v>4297</v>
      </c>
    </row>
    <row r="26" spans="1:2" x14ac:dyDescent="0.25">
      <c r="A26" s="4" t="s">
        <v>36</v>
      </c>
      <c r="B26" s="5">
        <v>6899</v>
      </c>
    </row>
    <row r="27" spans="1:2" x14ac:dyDescent="0.25">
      <c r="A27" s="4" t="s">
        <v>9</v>
      </c>
      <c r="B27" s="5">
        <v>6799</v>
      </c>
    </row>
    <row r="28" spans="1:2" x14ac:dyDescent="0.25">
      <c r="A28" s="4" t="s">
        <v>46</v>
      </c>
      <c r="B28" s="5">
        <v>4033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96660-2A02-4F12-BA4A-69D7CD5121D7}">
  <sheetPr codeName="Sheet3"/>
  <dimension ref="I13"/>
  <sheetViews>
    <sheetView showGridLines="0" tabSelected="1" workbookViewId="0">
      <selection activeCell="M43" sqref="M43"/>
    </sheetView>
  </sheetViews>
  <sheetFormatPr defaultRowHeight="15" x14ac:dyDescent="0.25"/>
  <sheetData>
    <row r="13" spans="9:9" x14ac:dyDescent="0.25">
      <c r="I13" s="8"/>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Chocolate Sales</vt:lpstr>
      <vt:lpstr>Pivot table</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NIK</dc:creator>
  <cp:lastModifiedBy>Nikhilkumar Sonawane</cp:lastModifiedBy>
  <dcterms:created xsi:type="dcterms:W3CDTF">2026-01-19T10:17:48Z</dcterms:created>
  <dcterms:modified xsi:type="dcterms:W3CDTF">2026-01-19T16:46:07Z</dcterms:modified>
</cp:coreProperties>
</file>